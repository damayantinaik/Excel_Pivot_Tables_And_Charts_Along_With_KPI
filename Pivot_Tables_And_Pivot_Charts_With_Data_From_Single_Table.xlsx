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Users\dnaik\Excel\Udemy\Intermediate_Excel_102\Chapter-18_Excel_Pivot_Tables\Github\"/>
    </mc:Choice>
  </mc:AlternateContent>
  <xr:revisionPtr revIDLastSave="0" documentId="13_ncr:1_{0C5BA792-3A07-43D5-9945-13DD41801096}" xr6:coauthVersionLast="47" xr6:coauthVersionMax="47" xr10:uidLastSave="{00000000-0000-0000-0000-000000000000}"/>
  <bookViews>
    <workbookView xWindow="-108" yWindow="-108" windowWidth="24792" windowHeight="14856" tabRatio="898" activeTab="4" xr2:uid="{00000000-000D-0000-FFFF-FFFF00000000}"/>
  </bookViews>
  <sheets>
    <sheet name="Subtotals" sheetId="7" r:id="rId1"/>
    <sheet name="April Sales Detail" sheetId="28" r:id="rId2"/>
    <sheet name="PivotTableSalesMonthly" sheetId="25" r:id="rId3"/>
    <sheet name="PivotTableSalesPerSalesperson" sheetId="30" r:id="rId4"/>
    <sheet name="PivotTableSalesPercentDiff" sheetId="31" r:id="rId5"/>
    <sheet name="Sales Data" sheetId="20" r:id="rId6"/>
  </sheets>
  <definedNames>
    <definedName name="_xlnm._FilterDatabase" localSheetId="5" hidden="1">'Sales Data'!$A$4:$H$448</definedName>
    <definedName name="_xlcn.WorksheetConnection_Excel102Exercises_after_my_follow_along_work_with_instructor.xlsxYearlySales1" hidden="1">YearlySales[]</definedName>
    <definedName name="Slicer_Region">#N/A</definedName>
    <definedName name="Slicer_Year">#N/A</definedName>
    <definedName name="Slicer_Year1">#N/A</definedName>
  </definedNames>
  <calcPr calcId="191029"/>
  <pivotCaches>
    <pivotCache cacheId="2" r:id="rId7"/>
    <pivotCache cacheId="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YearlySales" name="YearlySales" connection="WorksheetConnection_Excel102Exercises_after_my_follow_along_work_with_instructor.xlsx!YearlySal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52" i="20" l="1"/>
  <c r="F353" i="20"/>
  <c r="F354" i="20"/>
  <c r="F355" i="20"/>
  <c r="F356" i="20"/>
  <c r="F357" i="20"/>
  <c r="F358" i="20"/>
  <c r="F359" i="20"/>
  <c r="F360" i="20"/>
  <c r="F361" i="20"/>
  <c r="F362" i="20"/>
  <c r="F363" i="20"/>
  <c r="F364" i="20"/>
  <c r="F365" i="20"/>
  <c r="F366" i="20"/>
  <c r="F367" i="20"/>
  <c r="F368" i="20"/>
  <c r="F369" i="20"/>
  <c r="F370" i="20"/>
  <c r="F371" i="20"/>
  <c r="F372" i="20"/>
  <c r="F373" i="20"/>
  <c r="F374" i="20"/>
  <c r="F375" i="20"/>
  <c r="F376" i="20"/>
  <c r="F377" i="20"/>
  <c r="F378" i="20"/>
  <c r="F379" i="20"/>
  <c r="F380" i="20"/>
  <c r="F381" i="20"/>
  <c r="F382" i="20"/>
  <c r="F383" i="20"/>
  <c r="F384" i="20"/>
  <c r="F385" i="20"/>
  <c r="F386" i="20"/>
  <c r="F387" i="20"/>
  <c r="F388" i="20"/>
  <c r="F389" i="20"/>
  <c r="F390" i="20"/>
  <c r="F391" i="20"/>
  <c r="F392" i="20"/>
  <c r="F393" i="20"/>
  <c r="F394" i="20"/>
  <c r="F395" i="20"/>
  <c r="F396" i="20"/>
  <c r="F397" i="20"/>
  <c r="F398" i="20"/>
  <c r="F399" i="20"/>
  <c r="F400" i="20"/>
  <c r="F401" i="20"/>
  <c r="F402" i="20"/>
  <c r="F403" i="20"/>
  <c r="F404" i="20"/>
  <c r="F405" i="20"/>
  <c r="F406" i="20"/>
  <c r="F407" i="20"/>
  <c r="F408" i="20"/>
  <c r="F409" i="20"/>
  <c r="F410" i="20"/>
  <c r="F411" i="20"/>
  <c r="F412" i="20"/>
  <c r="F413" i="20"/>
  <c r="F414" i="20"/>
  <c r="F415" i="20"/>
  <c r="F416" i="20"/>
  <c r="F417" i="20"/>
  <c r="F418" i="20"/>
  <c r="F419" i="20"/>
  <c r="F420" i="20"/>
  <c r="F421" i="20"/>
  <c r="F422" i="20"/>
  <c r="F423" i="20"/>
  <c r="F424" i="20"/>
  <c r="F425" i="20"/>
  <c r="F426" i="20"/>
  <c r="F427" i="20"/>
  <c r="F428" i="20"/>
  <c r="F429" i="20"/>
  <c r="F430" i="20"/>
  <c r="F431" i="20"/>
  <c r="F432" i="20"/>
  <c r="F433" i="20"/>
  <c r="F434" i="20"/>
  <c r="F435" i="20"/>
  <c r="F436" i="20"/>
  <c r="F437" i="20"/>
  <c r="F438" i="20"/>
  <c r="F439" i="20"/>
  <c r="F440" i="20"/>
  <c r="F441" i="20"/>
  <c r="F442" i="20"/>
  <c r="F443" i="20"/>
  <c r="F444" i="20"/>
  <c r="F445" i="20"/>
  <c r="F446" i="20"/>
  <c r="F447" i="20"/>
  <c r="F448" i="20"/>
  <c r="F351"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67" i="20"/>
  <c r="F68" i="20"/>
  <c r="F69" i="20"/>
  <c r="F70" i="20"/>
  <c r="F71" i="20"/>
  <c r="F72" i="20"/>
  <c r="F73" i="20"/>
  <c r="F74" i="20"/>
  <c r="F75" i="20"/>
  <c r="F76" i="20"/>
  <c r="F77" i="20"/>
  <c r="F78" i="20"/>
  <c r="F79" i="20"/>
  <c r="F80" i="20"/>
  <c r="F81" i="20"/>
  <c r="F82" i="20"/>
  <c r="F83" i="20"/>
  <c r="F84" i="20"/>
  <c r="F85" i="20"/>
  <c r="F86" i="20"/>
  <c r="F87" i="20"/>
  <c r="F88" i="20"/>
  <c r="F89" i="20"/>
  <c r="F90" i="20"/>
  <c r="F91" i="20"/>
  <c r="F92" i="20"/>
  <c r="F93" i="20"/>
  <c r="F94" i="20"/>
  <c r="F95" i="20"/>
  <c r="F96" i="20"/>
  <c r="F97" i="20"/>
  <c r="F98" i="20"/>
  <c r="F99" i="20"/>
  <c r="F100" i="20"/>
  <c r="F101" i="20"/>
  <c r="F102" i="20"/>
  <c r="F103" i="20"/>
  <c r="F104" i="20"/>
  <c r="F105" i="20"/>
  <c r="F106" i="20"/>
  <c r="F107" i="20"/>
  <c r="F108" i="20"/>
  <c r="F109" i="20"/>
  <c r="F110"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F145" i="20"/>
  <c r="F146" i="20"/>
  <c r="F147" i="20"/>
  <c r="F148" i="20"/>
  <c r="F149" i="20"/>
  <c r="F150" i="20"/>
  <c r="F151" i="20"/>
  <c r="F152" i="20"/>
  <c r="F36" i="20"/>
  <c r="F342" i="20" l="1"/>
  <c r="F341" i="20"/>
  <c r="F340" i="20"/>
  <c r="F339" i="20"/>
  <c r="F338" i="20"/>
  <c r="F337" i="20"/>
  <c r="F336" i="20"/>
  <c r="F335" i="20"/>
  <c r="F334" i="20"/>
  <c r="F333" i="20"/>
  <c r="F332" i="20"/>
  <c r="F331" i="20"/>
  <c r="F322" i="20"/>
  <c r="F321" i="20"/>
  <c r="F320" i="20"/>
  <c r="F319" i="20"/>
  <c r="F318" i="20"/>
  <c r="F317" i="20"/>
  <c r="F316" i="20"/>
  <c r="F315" i="20"/>
  <c r="F314" i="20"/>
  <c r="F312" i="20"/>
  <c r="F306" i="20"/>
  <c r="F305" i="20"/>
  <c r="F304" i="20"/>
  <c r="F303" i="20"/>
  <c r="F302" i="20"/>
  <c r="F301" i="20"/>
  <c r="F300" i="20"/>
  <c r="F299" i="20"/>
  <c r="F298" i="20"/>
  <c r="F297" i="20"/>
  <c r="F296" i="20"/>
  <c r="F295" i="20"/>
  <c r="F294" i="20"/>
  <c r="F293" i="20"/>
  <c r="F288" i="20"/>
  <c r="F287" i="20"/>
  <c r="F286" i="20"/>
  <c r="F285" i="20"/>
  <c r="F284" i="20"/>
  <c r="F283" i="20"/>
  <c r="F282" i="20"/>
  <c r="F281" i="20"/>
  <c r="F280" i="20"/>
  <c r="F279" i="20"/>
  <c r="F278" i="20"/>
  <c r="F277" i="20"/>
  <c r="F276" i="20"/>
  <c r="F275" i="20"/>
  <c r="F274" i="20"/>
  <c r="F273" i="20"/>
  <c r="F272" i="20"/>
  <c r="F271" i="20"/>
  <c r="F266" i="20"/>
  <c r="F264" i="20"/>
  <c r="F262" i="20"/>
  <c r="F261" i="20"/>
  <c r="F260" i="20"/>
  <c r="F259" i="20"/>
  <c r="F258" i="20"/>
  <c r="F257" i="20"/>
  <c r="F256" i="20"/>
  <c r="F255" i="20"/>
  <c r="F254" i="20"/>
  <c r="F253" i="20"/>
  <c r="F244" i="20"/>
  <c r="F243" i="20"/>
  <c r="F242" i="20"/>
  <c r="F241" i="20"/>
  <c r="F240" i="20"/>
  <c r="F239" i="20"/>
  <c r="F238" i="20"/>
  <c r="F237" i="20"/>
  <c r="F236" i="20"/>
  <c r="F235" i="20"/>
  <c r="F234" i="20"/>
  <c r="F233" i="20"/>
  <c r="F214" i="20"/>
  <c r="F213" i="20"/>
  <c r="F212" i="20"/>
  <c r="F211" i="20"/>
  <c r="F210" i="20"/>
  <c r="F209" i="20"/>
  <c r="F208" i="20"/>
  <c r="F207" i="20"/>
  <c r="F206" i="20"/>
  <c r="F205" i="20"/>
  <c r="F204" i="20"/>
  <c r="F203" i="20"/>
  <c r="F194" i="20"/>
  <c r="F193" i="20"/>
  <c r="F192" i="20"/>
  <c r="F191" i="20"/>
  <c r="F190" i="20"/>
  <c r="F189" i="20"/>
  <c r="F188" i="20"/>
  <c r="F187" i="20"/>
  <c r="F186" i="20"/>
  <c r="F185" i="20"/>
  <c r="F184" i="20"/>
  <c r="F183" i="20"/>
  <c r="F174" i="20"/>
  <c r="F173" i="20"/>
  <c r="F172" i="20"/>
  <c r="F171" i="20"/>
  <c r="F170" i="20"/>
  <c r="F169" i="20"/>
  <c r="F168" i="20"/>
  <c r="F167" i="20"/>
  <c r="F166" i="20"/>
  <c r="F164" i="20"/>
  <c r="F158" i="20"/>
  <c r="F157" i="20"/>
  <c r="F156" i="20"/>
  <c r="F155" i="20"/>
  <c r="F154" i="20"/>
  <c r="F153" i="20"/>
  <c r="F26" i="20"/>
  <c r="F18" i="20"/>
  <c r="F10" i="20"/>
  <c r="F9" i="20"/>
  <c r="F20" i="20"/>
  <c r="F8" i="20"/>
  <c r="F24" i="20"/>
  <c r="F23" i="20"/>
  <c r="F16" i="20"/>
  <c r="F21" i="20"/>
  <c r="F22" i="20"/>
  <c r="F5" i="20"/>
  <c r="F19" i="20"/>
  <c r="F6" i="20"/>
  <c r="F7" i="20"/>
  <c r="F35" i="20"/>
  <c r="F25" i="20"/>
  <c r="E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C6BA30-F07F-49E2-A51D-4A4FF3647C0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9FEC280-B4C7-461A-B596-B7F3B6CB7A52}" name="WorksheetConnection_Excel102Exercises_after_my_follow_along_work_with_instructor.xlsx!YearlySales" type="102" refreshedVersion="8" minRefreshableVersion="5">
    <extLst>
      <ext xmlns:x15="http://schemas.microsoft.com/office/spreadsheetml/2010/11/main" uri="{DE250136-89BD-433C-8126-D09CA5730AF9}">
        <x15:connection id="YearlySales" autoDelete="1">
          <x15:rangePr sourceName="_xlcn.WorksheetConnection_Excel102Exercises_after_my_follow_along_work_with_instructor.xlsxYearlySales1"/>
        </x15:connection>
      </ext>
    </extLst>
  </connection>
</connections>
</file>

<file path=xl/sharedStrings.xml><?xml version="1.0" encoding="utf-8"?>
<sst xmlns="http://schemas.openxmlformats.org/spreadsheetml/2006/main" count="2872" uniqueCount="494">
  <si>
    <t>Salesperson</t>
  </si>
  <si>
    <t>Product</t>
  </si>
  <si>
    <t>Units</t>
  </si>
  <si>
    <t>Price/Unit</t>
  </si>
  <si>
    <t>Sales</t>
  </si>
  <si>
    <t>Cattapan</t>
  </si>
  <si>
    <t>Chocolate Chocolate Chip</t>
  </si>
  <si>
    <t>Fudge Brownie</t>
  </si>
  <si>
    <t>Strawberry</t>
  </si>
  <si>
    <t>Vanilla</t>
  </si>
  <si>
    <t>DeMarcos</t>
  </si>
  <si>
    <t>Packet</t>
  </si>
  <si>
    <t>Patterson</t>
  </si>
  <si>
    <t>Sergeto</t>
  </si>
  <si>
    <t>Smith</t>
  </si>
  <si>
    <t>Wilson</t>
  </si>
  <si>
    <t>Month</t>
  </si>
  <si>
    <t>Year</t>
  </si>
  <si>
    <t>April</t>
  </si>
  <si>
    <t>February</t>
  </si>
  <si>
    <t>January</t>
  </si>
  <si>
    <t>March</t>
  </si>
  <si>
    <t>May</t>
  </si>
  <si>
    <t>November</t>
  </si>
  <si>
    <t>Ice Cream</t>
  </si>
  <si>
    <t>Region</t>
  </si>
  <si>
    <t>North</t>
  </si>
  <si>
    <t>West</t>
  </si>
  <si>
    <t>South</t>
  </si>
  <si>
    <t>Type</t>
  </si>
  <si>
    <t>Bishop</t>
  </si>
  <si>
    <t>Frozen Yogurt</t>
  </si>
  <si>
    <t>Pullen</t>
  </si>
  <si>
    <t>Tasty Treats</t>
  </si>
  <si>
    <t>Watson</t>
  </si>
  <si>
    <t>Central</t>
  </si>
  <si>
    <t>Popsicles</t>
  </si>
  <si>
    <t>December</t>
  </si>
  <si>
    <t>Lee</t>
  </si>
  <si>
    <t>Parker</t>
  </si>
  <si>
    <t>Sales Past Three Years</t>
  </si>
  <si>
    <t>Order #</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</si>
  <si>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</si>
  <si>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</si>
  <si>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</si>
  <si>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</si>
  <si>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</si>
  <si>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</si>
  <si>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</si>
  <si>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</si>
  <si>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</si>
  <si>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</si>
  <si>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</si>
  <si>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</si>
  <si>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</si>
  <si>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</si>
  <si>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</si>
  <si>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</si>
  <si>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</si>
  <si>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</si>
  <si>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</si>
  <si>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</si>
  <si>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</si>
  <si>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</si>
  <si>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</si>
  <si>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</si>
  <si>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</si>
  <si>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</si>
  <si>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</si>
  <si>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</si>
  <si>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</si>
  <si>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</si>
  <si>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</si>
  <si>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</si>
  <si>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</si>
  <si>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</si>
  <si>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</si>
  <si>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</si>
  <si>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</si>
  <si>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</si>
  <si>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</si>
  <si>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</si>
  <si>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</si>
  <si>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</si>
  <si>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</si>
  <si>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</si>
  <si>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</si>
  <si>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</si>
  <si>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</si>
  <si>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</si>
  <si>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</si>
  <si>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</si>
  <si>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</si>
  <si>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</si>
  <si>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</si>
  <si>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</si>
  <si>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</si>
  <si>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</si>
  <si>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</si>
  <si>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</si>
  <si>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</si>
  <si>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</si>
  <si>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</si>
  <si>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</si>
  <si>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</si>
  <si>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</si>
  <si>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</si>
  <si>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</si>
  <si>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</si>
  <si>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</si>
  <si>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</si>
  <si>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</si>
  <si>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</si>
  <si>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</si>
  <si>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</si>
  <si>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</si>
  <si>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</si>
  <si>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</si>
  <si>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</si>
  <si>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</si>
  <si>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</si>
  <si>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</si>
  <si>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</si>
  <si>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</si>
  <si>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</si>
  <si>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</si>
  <si>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</si>
  <si>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</si>
  <si>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</si>
  <si>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</si>
  <si>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</si>
  <si>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</si>
  <si>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</si>
  <si>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</si>
  <si>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</si>
  <si>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</si>
  <si>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</si>
  <si>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</si>
  <si>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</si>
  <si>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</si>
  <si>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</si>
  <si>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</si>
  <si>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</si>
  <si>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</si>
  <si>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</si>
  <si>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</si>
  <si>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</si>
  <si>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</si>
  <si>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</si>
  <si>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</si>
  <si>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</si>
  <si>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</si>
  <si>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</si>
  <si>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</si>
  <si>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</si>
  <si>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</si>
  <si>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</si>
  <si>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</si>
  <si>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</si>
  <si>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</si>
  <si>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</si>
  <si>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</si>
  <si>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</si>
  <si>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</si>
  <si>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</si>
  <si>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</si>
  <si>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</si>
  <si>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</si>
  <si>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</si>
  <si>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</si>
  <si>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</si>
  <si>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</si>
  <si>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</si>
  <si>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</si>
  <si>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</si>
  <si>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</si>
  <si>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</si>
  <si>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</si>
  <si>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</si>
  <si>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</si>
  <si>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</si>
  <si>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</si>
  <si>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</si>
  <si>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</si>
  <si>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</si>
  <si>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</si>
  <si>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</si>
  <si>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</si>
  <si>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</si>
  <si>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</si>
  <si>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</si>
  <si>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</si>
  <si>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</si>
  <si>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</si>
  <si>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</si>
  <si>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</si>
  <si>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</si>
  <si>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</si>
  <si>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</si>
  <si>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</si>
  <si>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</si>
  <si>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</si>
  <si>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</si>
  <si>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</si>
  <si>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</si>
  <si>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</si>
  <si>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</si>
  <si>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</si>
  <si>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</si>
  <si>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</si>
  <si>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</si>
  <si>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</si>
  <si>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</si>
  <si>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</si>
  <si>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</si>
  <si>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</si>
  <si>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</si>
  <si>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</si>
  <si>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</si>
  <si>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</si>
  <si>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</si>
  <si>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</si>
  <si>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</si>
  <si>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</si>
  <si>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</si>
  <si>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</si>
  <si>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</si>
  <si>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</si>
  <si>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</si>
  <si>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</si>
  <si>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</si>
  <si>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</si>
  <si>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</si>
  <si>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</si>
  <si>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</si>
  <si>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</si>
  <si>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</si>
  <si>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</si>
  <si>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</si>
  <si>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</si>
  <si>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</si>
  <si>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</si>
  <si>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</si>
  <si>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</si>
  <si>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</si>
  <si>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</si>
  <si>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</si>
  <si>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</si>
  <si>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</si>
  <si>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</si>
  <si>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</si>
  <si>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</si>
  <si>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</si>
  <si>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</si>
  <si>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</si>
  <si>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</si>
  <si>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</si>
  <si>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</si>
  <si>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</si>
  <si>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</si>
  <si>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</si>
  <si>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</si>
  <si>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</si>
  <si>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</si>
  <si>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</si>
  <si>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</si>
  <si>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</si>
  <si>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</si>
  <si>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</si>
  <si>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</si>
  <si>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</si>
  <si>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</si>
  <si>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</si>
  <si>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</si>
  <si>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</si>
  <si>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</si>
  <si>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</si>
  <si>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</si>
  <si>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</si>
  <si>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</si>
  <si>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</si>
  <si>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</si>
  <si>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</si>
  <si>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</si>
  <si>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</si>
  <si>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</si>
  <si>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</si>
  <si>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</si>
  <si>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</si>
  <si>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</si>
  <si>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</si>
  <si>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</si>
  <si>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</si>
  <si>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</si>
  <si>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</si>
  <si>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</si>
  <si>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</si>
  <si>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</si>
  <si>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</si>
  <si>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</si>
  <si>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</si>
  <si>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</si>
  <si>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</si>
  <si>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</si>
  <si>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</si>
  <si>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</si>
  <si>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</si>
  <si>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</si>
  <si>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</si>
  <si>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</si>
  <si>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</si>
  <si>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</si>
  <si>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</si>
  <si>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</si>
  <si>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</si>
  <si>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</si>
  <si>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</si>
  <si>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</si>
  <si>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</si>
  <si>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</si>
  <si>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</si>
  <si>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</si>
  <si>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</si>
  <si>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</si>
  <si>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</si>
  <si>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</si>
  <si>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</si>
  <si>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</si>
  <si>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</si>
  <si>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</si>
  <si>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</si>
  <si>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</si>
  <si>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</si>
  <si>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</si>
  <si>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</si>
  <si>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</si>
  <si>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</si>
  <si>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</si>
  <si>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</si>
  <si>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</si>
  <si>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</si>
  <si>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</si>
  <si>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</si>
  <si>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</si>
  <si>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</si>
  <si>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</si>
  <si>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</si>
  <si>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</si>
  <si>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</si>
  <si>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</si>
  <si>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</si>
  <si>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</si>
  <si>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</si>
  <si>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</si>
  <si>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</si>
  <si>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</si>
  <si>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</si>
  <si>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</si>
  <si>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</si>
  <si>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</si>
  <si>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</si>
  <si>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</si>
  <si>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</si>
  <si>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</si>
  <si>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</si>
  <si>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</si>
  <si>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</si>
  <si>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</si>
  <si>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</si>
  <si>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</si>
  <si>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</si>
  <si>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</si>
  <si>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</si>
  <si>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</si>
  <si>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</si>
  <si>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</si>
  <si>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</si>
  <si>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</si>
  <si>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</si>
  <si>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</si>
  <si>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</si>
  <si>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</si>
  <si>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</si>
  <si>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</si>
  <si>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</si>
  <si>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</si>
  <si>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</si>
  <si>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</si>
  <si>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</si>
  <si>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</si>
  <si>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</si>
  <si>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</si>
  <si>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</si>
  <si>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</si>
  <si>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</si>
  <si>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</si>
  <si>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</si>
  <si>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</si>
  <si>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</si>
  <si>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</si>
  <si>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</si>
  <si>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</si>
  <si>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</si>
  <si>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</si>
  <si>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</si>
  <si>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</si>
  <si>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</si>
  <si>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</si>
  <si>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</si>
  <si>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</si>
  <si>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</si>
  <si>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</si>
  <si>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</si>
  <si>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</si>
  <si>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</si>
  <si>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</si>
  <si>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</si>
  <si>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</si>
  <si>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</si>
  <si>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</si>
  <si>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</si>
  <si>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</si>
  <si>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</si>
  <si>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</si>
  <si>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</si>
  <si>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</si>
  <si>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</si>
  <si>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</si>
  <si>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</si>
  <si>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</si>
  <si>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</si>
  <si>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</si>
  <si>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</si>
  <si>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</si>
  <si>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</si>
  <si>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</si>
  <si>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</si>
  <si>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</si>
  <si>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</si>
  <si>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</si>
  <si>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</si>
  <si>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</si>
  <si>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</si>
  <si>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</si>
  <si>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</si>
  <si>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</si>
  <si>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</si>
  <si>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</si>
  <si>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</si>
  <si>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</si>
  <si>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</si>
  <si>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</si>
  <si>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</si>
  <si>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</si>
  <si>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</si>
  <si>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</si>
  <si>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</si>
  <si>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</si>
  <si>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</si>
  <si>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</si>
  <si>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</si>
  <si>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</si>
  <si>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</si>
  <si>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</si>
  <si>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</si>
  <si>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</si>
  <si>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</si>
  <si>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</si>
  <si>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</si>
  <si>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</si>
  <si>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</si>
  <si>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</si>
  <si>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</si>
  <si>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</si>
  <si>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</si>
  <si>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</si>
  <si>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</si>
  <si>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</si>
  <si>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</si>
  <si>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</si>
  <si>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</si>
  <si>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</si>
  <si>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</si>
  <si>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</si>
  <si>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</si>
  <si>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</si>
  <si>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2013 - 2015</t>
  </si>
  <si>
    <t>Row Labels</t>
  </si>
  <si>
    <t>Grand Total</t>
  </si>
  <si>
    <t>Sum of Sales</t>
  </si>
  <si>
    <t>Column Labels</t>
  </si>
  <si>
    <t>% of Grand Total</t>
  </si>
  <si>
    <t>% Sales Difference From</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</si>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</sst>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6" formatCode="&quot;$&quot;#,##0.00;[Red]&quot;$&quot;#,##0.00"/>
  </numFmts>
  <fonts count="9" x14ac:knownFonts="1">
    <font>
      <sz val="10"/>
      <name val="Arial"/>
    </font>
    <font>
      <sz val="10"/>
      <name val="Arial"/>
      <family val="2"/>
    </font>
    <font>
      <sz val="10"/>
      <name val="MS Sans Serif"/>
    </font>
    <font>
      <b/>
      <u/>
      <sz val="10"/>
      <name val="Arial"/>
      <family val="2"/>
    </font>
    <font>
      <b/>
      <u/>
      <sz val="13.5"/>
      <name val="MS Sans Serif"/>
      <family val="2"/>
    </font>
    <font>
      <b/>
      <u/>
      <sz val="12"/>
      <name val="MS Sans Serif"/>
    </font>
    <font>
      <b/>
      <sz val="13.5"/>
      <name val="MS Sans Serif"/>
    </font>
    <font>
      <b/>
      <sz val="10"/>
      <color theme="0"/>
      <name val="Arial"/>
      <family val="2"/>
    </font>
    <font>
      <b/>
      <sz val="12"/>
      <color theme="0"/>
      <name val="MS Sans Serif"/>
    </font>
  </fonts>
  <fills count="3">
    <fill>
      <patternFill patternType="none"/>
    </fill>
    <fill>
      <patternFill patternType="gray125"/>
    </fill>
    <fill>
      <patternFill patternType="solid">
        <fgColor theme="4" tint="-0.249977111117893"/>
        <bgColor indexed="64"/>
      </patternFill>
    </fill>
  </fills>
  <borders count="2">
    <border>
      <left/>
      <right/>
      <top/>
      <bottom/>
      <diagonal/>
    </border>
    <border>
      <left/>
      <right/>
      <top/>
      <bottom style="medium">
        <color indexed="64"/>
      </bottom>
      <diagonal/>
    </border>
  </borders>
  <cellStyleXfs count="4">
    <xf numFmtId="0" fontId="0" fillId="0" borderId="0"/>
    <xf numFmtId="8" fontId="2" fillId="0" borderId="0" applyFont="0" applyFill="0" applyBorder="0" applyAlignment="0" applyProtection="0"/>
    <xf numFmtId="0" fontId="2" fillId="0" borderId="0"/>
    <xf numFmtId="0" fontId="1" fillId="0" borderId="0"/>
  </cellStyleXfs>
  <cellXfs count="26">
    <xf numFmtId="0" fontId="0" fillId="0" borderId="0" xfId="0"/>
    <xf numFmtId="0" fontId="3" fillId="0" borderId="0" xfId="3" applyFont="1" applyAlignment="1">
      <alignment horizontal="center"/>
    </xf>
    <xf numFmtId="0" fontId="1" fillId="0" borderId="0" xfId="3"/>
    <xf numFmtId="0" fontId="2" fillId="0" borderId="0" xfId="2" applyProtection="1"/>
    <xf numFmtId="8" fontId="1" fillId="0" borderId="0" xfId="1" applyFont="1"/>
    <xf numFmtId="8" fontId="1" fillId="0" borderId="0" xfId="1" applyFont="1" applyAlignment="1">
      <alignment horizontal="right"/>
    </xf>
    <xf numFmtId="17" fontId="1" fillId="0" borderId="0" xfId="3" applyNumberFormat="1"/>
    <xf numFmtId="0" fontId="1" fillId="0" borderId="0" xfId="3" applyFont="1"/>
    <xf numFmtId="0" fontId="2" fillId="0" borderId="0" xfId="2"/>
    <xf numFmtId="0" fontId="4" fillId="0" borderId="0" xfId="2" applyFont="1" applyAlignment="1">
      <alignment horizontal="centerContinuous"/>
    </xf>
    <xf numFmtId="0" fontId="2" fillId="0" borderId="0" xfId="2" applyAlignment="1">
      <alignment horizontal="centerContinuous"/>
    </xf>
    <xf numFmtId="0" fontId="5" fillId="0" borderId="0" xfId="2" applyFont="1" applyAlignment="1">
      <alignment horizontal="center"/>
    </xf>
    <xf numFmtId="8" fontId="2" fillId="0" borderId="0" xfId="1"/>
    <xf numFmtId="0" fontId="2" fillId="0" borderId="0" xfId="2" applyFont="1"/>
    <xf numFmtId="49" fontId="2" fillId="0" borderId="0" xfId="2" applyNumberFormat="1" applyFont="1" applyAlignment="1">
      <alignment horizontal="center"/>
    </xf>
    <xf numFmtId="0" fontId="8" fillId="2" borderId="1" xfId="2" applyFont="1" applyFill="1" applyBorder="1" applyAlignment="1">
      <alignment horizontal="center"/>
    </xf>
    <xf numFmtId="0" fontId="7" fillId="2" borderId="1" xfId="3"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left" indent="2"/>
    </xf>
    <xf numFmtId="166" fontId="0" fillId="0" borderId="0" xfId="0" applyNumberFormat="1"/>
    <xf numFmtId="10" fontId="0" fillId="0" borderId="0" xfId="0" applyNumberFormat="1"/>
    <xf numFmtId="0" fontId="6" fillId="0" borderId="0" xfId="2" applyFont="1" applyAlignment="1">
      <alignment horizontal="center"/>
    </xf>
    <xf numFmtId="0" fontId="4" fillId="0" borderId="0" xfId="2" applyFont="1" applyAlignment="1">
      <alignment horizontal="center"/>
    </xf>
  </cellXfs>
  <cellStyles count="4">
    <cellStyle name="Currency_EXCEL3-2" xfId="1" xr:uid="{00000000-0005-0000-0000-000001000000}"/>
    <cellStyle name="Normal" xfId="0" builtinId="0"/>
    <cellStyle name="Normal_EXCEL3-2" xfId="2" xr:uid="{00000000-0005-0000-0000-000003000000}"/>
    <cellStyle name="Normal_Sheet1" xfId="3" xr:uid="{00000000-0005-0000-0000-000004000000}"/>
  </cellStyles>
  <dxfs count="4">
    <dxf>
      <font>
        <b val="0"/>
        <i val="0"/>
        <strike val="0"/>
        <condense val="0"/>
        <extend val="0"/>
        <outline val="0"/>
        <shadow val="0"/>
        <u val="none"/>
        <vertAlign val="baseline"/>
        <sz val="10"/>
        <color auto="1"/>
        <name val="MS Sans Serif"/>
        <scheme val="none"/>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0"/>
        <color auto="1"/>
        <name val="MS Sans Serif"/>
        <scheme val="none"/>
      </font>
    </dxf>
    <dxf>
      <border outline="0">
        <bottom style="medium">
          <color indexed="64"/>
        </bottom>
      </border>
    </dxf>
    <dxf>
      <font>
        <b/>
        <i val="0"/>
        <strike val="0"/>
        <condense val="0"/>
        <extend val="0"/>
        <outline val="0"/>
        <shadow val="0"/>
        <u val="none"/>
        <vertAlign val="baseline"/>
        <sz val="12"/>
        <color theme="0"/>
        <name val="MS Sans Serif"/>
        <scheme val="none"/>
      </font>
      <fill>
        <patternFill patternType="solid">
          <fgColor indexed="64"/>
          <bgColor theme="4" tint="-0.249977111117893"/>
        </patternFill>
      </fill>
      <alignment horizontal="center" vertical="bottom" textRotation="0" wrapText="0" indent="0" justifyLastLine="0" shrinkToFit="0" readingOrder="0"/>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19" Type="http://schemas.openxmlformats.org/officeDocument/2006/relationships/customXml" Target="../customXml/item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[Pivot_Tables_And_Pivot_Charts_With_Data_From_Single_Table.xlsx]PivotTableSalesMonthly!PivotTableSummarizingsales1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717823315563819E-2"/>
          <c:y val="9.2264770860476977E-2"/>
          <c:w val="0.94551503072985443"/>
          <c:h val="0.67654718744689291"/>
        </c:manualLayout>
      </c:layout>
      <c:barChart>
        <c:barDir val="col"/>
        <c:grouping val="clustered"/>
        <c:varyColors val="0"/>
        <c:ser>
          <c:idx val="0"/>
          <c:order val="0"/>
          <c:tx>
            <c:strRef>
              <c:f>PivotTableSalesMonthly!$B$3:$B$4</c:f>
              <c:strCache>
                <c:ptCount val="1"/>
                <c:pt idx="0">
                  <c:v>Frozen Yogurt</c:v>
                </c:pt>
              </c:strCache>
            </c:strRef>
          </c:tx>
          <c:spPr>
            <a:solidFill>
              <a:schemeClr val="accent1"/>
            </a:solidFill>
            <a:ln>
              <a:noFill/>
            </a:ln>
            <a:effectLst/>
          </c:spPr>
          <c:invertIfNegative val="0"/>
          <c:cat>
            <c:multiLvlStrRef>
              <c:f>PivotTableSalesMonthly!$A$5:$A$50</c:f>
              <c:multiLvlStrCache>
                <c:ptCount val="21"/>
                <c:lvl>
                  <c:pt idx="0">
                    <c:v>South</c:v>
                  </c:pt>
                  <c:pt idx="1">
                    <c:v>South</c:v>
                  </c:pt>
                  <c:pt idx="2">
                    <c:v>South</c:v>
                  </c:pt>
                  <c:pt idx="3">
                    <c:v>South</c:v>
                  </c:pt>
                  <c:pt idx="4">
                    <c:v>South</c:v>
                  </c:pt>
                  <c:pt idx="5">
                    <c:v>South</c:v>
                  </c:pt>
                  <c:pt idx="6">
                    <c:v>South</c:v>
                  </c:pt>
                  <c:pt idx="7">
                    <c:v>South</c:v>
                  </c:pt>
                  <c:pt idx="8">
                    <c:v>South</c:v>
                  </c:pt>
                  <c:pt idx="9">
                    <c:v>South</c:v>
                  </c:pt>
                  <c:pt idx="10">
                    <c:v>South</c:v>
                  </c:pt>
                  <c:pt idx="11">
                    <c:v>South</c:v>
                  </c:pt>
                  <c:pt idx="12">
                    <c:v>South</c:v>
                  </c:pt>
                  <c:pt idx="13">
                    <c:v>South</c:v>
                  </c:pt>
                  <c:pt idx="14">
                    <c:v>South</c:v>
                  </c:pt>
                  <c:pt idx="15">
                    <c:v>South</c:v>
                  </c:pt>
                  <c:pt idx="16">
                    <c:v>South</c:v>
                  </c:pt>
                  <c:pt idx="17">
                    <c:v>South</c:v>
                  </c:pt>
                  <c:pt idx="18">
                    <c:v>South</c:v>
                  </c:pt>
                  <c:pt idx="19">
                    <c:v>South</c:v>
                  </c:pt>
                  <c:pt idx="20">
                    <c:v>South</c:v>
                  </c:pt>
                </c:lvl>
                <c:lvl>
                  <c:pt idx="0">
                    <c:v>January</c:v>
                  </c:pt>
                  <c:pt idx="1">
                    <c:v>February</c:v>
                  </c:pt>
                  <c:pt idx="2">
                    <c:v>March</c:v>
                  </c:pt>
                  <c:pt idx="3">
                    <c:v>April</c:v>
                  </c:pt>
                  <c:pt idx="4">
                    <c:v>May</c:v>
                  </c:pt>
                  <c:pt idx="5">
                    <c:v>November</c:v>
                  </c:pt>
                  <c:pt idx="6">
                    <c:v>December</c:v>
                  </c:pt>
                  <c:pt idx="7">
                    <c:v>January</c:v>
                  </c:pt>
                  <c:pt idx="8">
                    <c:v>February</c:v>
                  </c:pt>
                  <c:pt idx="9">
                    <c:v>March</c:v>
                  </c:pt>
                  <c:pt idx="10">
                    <c:v>April</c:v>
                  </c:pt>
                  <c:pt idx="11">
                    <c:v>May</c:v>
                  </c:pt>
                  <c:pt idx="12">
                    <c:v>November</c:v>
                  </c:pt>
                  <c:pt idx="13">
                    <c:v>December</c:v>
                  </c:pt>
                  <c:pt idx="14">
                    <c:v>January</c:v>
                  </c:pt>
                  <c:pt idx="15">
                    <c:v>February</c:v>
                  </c:pt>
                  <c:pt idx="16">
                    <c:v>March</c:v>
                  </c:pt>
                  <c:pt idx="17">
                    <c:v>April</c:v>
                  </c:pt>
                  <c:pt idx="18">
                    <c:v>May</c:v>
                  </c:pt>
                  <c:pt idx="19">
                    <c:v>November</c:v>
                  </c:pt>
                  <c:pt idx="20">
                    <c:v>December</c:v>
                  </c:pt>
                </c:lvl>
                <c:lvl>
                  <c:pt idx="0">
                    <c:v>2013</c:v>
                  </c:pt>
                  <c:pt idx="7">
                    <c:v>2014</c:v>
                  </c:pt>
                  <c:pt idx="14">
                    <c:v>2015</c:v>
                  </c:pt>
                </c:lvl>
              </c:multiLvlStrCache>
            </c:multiLvlStrRef>
          </c:cat>
          <c:val>
            <c:numRef>
              <c:f>PivotTableSalesMonthly!$B$5:$B$50</c:f>
              <c:numCache>
                <c:formatCode>General</c:formatCode>
                <c:ptCount val="21"/>
                <c:pt idx="1">
                  <c:v>24412.5</c:v>
                </c:pt>
                <c:pt idx="2">
                  <c:v>2497.5</c:v>
                </c:pt>
                <c:pt idx="5">
                  <c:v>6495</c:v>
                </c:pt>
                <c:pt idx="8">
                  <c:v>29295</c:v>
                </c:pt>
                <c:pt idx="9">
                  <c:v>2997</c:v>
                </c:pt>
                <c:pt idx="12">
                  <c:v>7794</c:v>
                </c:pt>
                <c:pt idx="15">
                  <c:v>29295</c:v>
                </c:pt>
                <c:pt idx="16">
                  <c:v>2797.2</c:v>
                </c:pt>
                <c:pt idx="19">
                  <c:v>7274.4</c:v>
                </c:pt>
              </c:numCache>
            </c:numRef>
          </c:val>
          <c:extLst>
            <c:ext xmlns:c16="http://schemas.microsoft.com/office/drawing/2014/chart" uri="{C3380CC4-5D6E-409C-BE32-E72D297353CC}">
              <c16:uniqueId val="{00000000-7106-47F1-B3BD-5ACF27BBAF9C}"/>
            </c:ext>
          </c:extLst>
        </c:ser>
        <c:ser>
          <c:idx val="1"/>
          <c:order val="1"/>
          <c:tx>
            <c:strRef>
              <c:f>PivotTableSalesMonthly!$C$3:$C$4</c:f>
              <c:strCache>
                <c:ptCount val="1"/>
                <c:pt idx="0">
                  <c:v>Ice Cream</c:v>
                </c:pt>
              </c:strCache>
            </c:strRef>
          </c:tx>
          <c:spPr>
            <a:solidFill>
              <a:schemeClr val="accent2"/>
            </a:solidFill>
            <a:ln>
              <a:noFill/>
            </a:ln>
            <a:effectLst/>
          </c:spPr>
          <c:invertIfNegative val="0"/>
          <c:cat>
            <c:multiLvlStrRef>
              <c:f>PivotTableSalesMonthly!$A$5:$A$50</c:f>
              <c:multiLvlStrCache>
                <c:ptCount val="21"/>
                <c:lvl>
                  <c:pt idx="0">
                    <c:v>South</c:v>
                  </c:pt>
                  <c:pt idx="1">
                    <c:v>South</c:v>
                  </c:pt>
                  <c:pt idx="2">
                    <c:v>South</c:v>
                  </c:pt>
                  <c:pt idx="3">
                    <c:v>South</c:v>
                  </c:pt>
                  <c:pt idx="4">
                    <c:v>South</c:v>
                  </c:pt>
                  <c:pt idx="5">
                    <c:v>South</c:v>
                  </c:pt>
                  <c:pt idx="6">
                    <c:v>South</c:v>
                  </c:pt>
                  <c:pt idx="7">
                    <c:v>South</c:v>
                  </c:pt>
                  <c:pt idx="8">
                    <c:v>South</c:v>
                  </c:pt>
                  <c:pt idx="9">
                    <c:v>South</c:v>
                  </c:pt>
                  <c:pt idx="10">
                    <c:v>South</c:v>
                  </c:pt>
                  <c:pt idx="11">
                    <c:v>South</c:v>
                  </c:pt>
                  <c:pt idx="12">
                    <c:v>South</c:v>
                  </c:pt>
                  <c:pt idx="13">
                    <c:v>South</c:v>
                  </c:pt>
                  <c:pt idx="14">
                    <c:v>South</c:v>
                  </c:pt>
                  <c:pt idx="15">
                    <c:v>South</c:v>
                  </c:pt>
                  <c:pt idx="16">
                    <c:v>South</c:v>
                  </c:pt>
                  <c:pt idx="17">
                    <c:v>South</c:v>
                  </c:pt>
                  <c:pt idx="18">
                    <c:v>South</c:v>
                  </c:pt>
                  <c:pt idx="19">
                    <c:v>South</c:v>
                  </c:pt>
                  <c:pt idx="20">
                    <c:v>South</c:v>
                  </c:pt>
                </c:lvl>
                <c:lvl>
                  <c:pt idx="0">
                    <c:v>January</c:v>
                  </c:pt>
                  <c:pt idx="1">
                    <c:v>February</c:v>
                  </c:pt>
                  <c:pt idx="2">
                    <c:v>March</c:v>
                  </c:pt>
                  <c:pt idx="3">
                    <c:v>April</c:v>
                  </c:pt>
                  <c:pt idx="4">
                    <c:v>May</c:v>
                  </c:pt>
                  <c:pt idx="5">
                    <c:v>November</c:v>
                  </c:pt>
                  <c:pt idx="6">
                    <c:v>December</c:v>
                  </c:pt>
                  <c:pt idx="7">
                    <c:v>January</c:v>
                  </c:pt>
                  <c:pt idx="8">
                    <c:v>February</c:v>
                  </c:pt>
                  <c:pt idx="9">
                    <c:v>March</c:v>
                  </c:pt>
                  <c:pt idx="10">
                    <c:v>April</c:v>
                  </c:pt>
                  <c:pt idx="11">
                    <c:v>May</c:v>
                  </c:pt>
                  <c:pt idx="12">
                    <c:v>November</c:v>
                  </c:pt>
                  <c:pt idx="13">
                    <c:v>December</c:v>
                  </c:pt>
                  <c:pt idx="14">
                    <c:v>January</c:v>
                  </c:pt>
                  <c:pt idx="15">
                    <c:v>February</c:v>
                  </c:pt>
                  <c:pt idx="16">
                    <c:v>March</c:v>
                  </c:pt>
                  <c:pt idx="17">
                    <c:v>April</c:v>
                  </c:pt>
                  <c:pt idx="18">
                    <c:v>May</c:v>
                  </c:pt>
                  <c:pt idx="19">
                    <c:v>November</c:v>
                  </c:pt>
                  <c:pt idx="20">
                    <c:v>December</c:v>
                  </c:pt>
                </c:lvl>
                <c:lvl>
                  <c:pt idx="0">
                    <c:v>2013</c:v>
                  </c:pt>
                  <c:pt idx="7">
                    <c:v>2014</c:v>
                  </c:pt>
                  <c:pt idx="14">
                    <c:v>2015</c:v>
                  </c:pt>
                </c:lvl>
              </c:multiLvlStrCache>
            </c:multiLvlStrRef>
          </c:cat>
          <c:val>
            <c:numRef>
              <c:f>PivotTableSalesMonthly!$C$5:$C$50</c:f>
              <c:numCache>
                <c:formatCode>General</c:formatCode>
                <c:ptCount val="21"/>
                <c:pt idx="3">
                  <c:v>39695</c:v>
                </c:pt>
                <c:pt idx="4">
                  <c:v>23665</c:v>
                </c:pt>
                <c:pt idx="6">
                  <c:v>5397.5</c:v>
                </c:pt>
                <c:pt idx="10">
                  <c:v>47634</c:v>
                </c:pt>
                <c:pt idx="11">
                  <c:v>28398</c:v>
                </c:pt>
                <c:pt idx="13">
                  <c:v>6477</c:v>
                </c:pt>
                <c:pt idx="17">
                  <c:v>44458.399999999994</c:v>
                </c:pt>
                <c:pt idx="18">
                  <c:v>26504.799999999996</c:v>
                </c:pt>
                <c:pt idx="20">
                  <c:v>6045.2</c:v>
                </c:pt>
              </c:numCache>
            </c:numRef>
          </c:val>
          <c:extLst>
            <c:ext xmlns:c16="http://schemas.microsoft.com/office/drawing/2014/chart" uri="{C3380CC4-5D6E-409C-BE32-E72D297353CC}">
              <c16:uniqueId val="{00000000-8E73-4063-A7C1-CAA20D96102C}"/>
            </c:ext>
          </c:extLst>
        </c:ser>
        <c:ser>
          <c:idx val="2"/>
          <c:order val="2"/>
          <c:tx>
            <c:strRef>
              <c:f>PivotTableSalesMonthly!$D$3:$D$4</c:f>
              <c:strCache>
                <c:ptCount val="1"/>
                <c:pt idx="0">
                  <c:v>Popsicles</c:v>
                </c:pt>
              </c:strCache>
            </c:strRef>
          </c:tx>
          <c:spPr>
            <a:solidFill>
              <a:schemeClr val="accent3"/>
            </a:solidFill>
            <a:ln>
              <a:noFill/>
            </a:ln>
            <a:effectLst/>
          </c:spPr>
          <c:invertIfNegative val="0"/>
          <c:cat>
            <c:multiLvlStrRef>
              <c:f>PivotTableSalesMonthly!$A$5:$A$50</c:f>
              <c:multiLvlStrCache>
                <c:ptCount val="21"/>
                <c:lvl>
                  <c:pt idx="0">
                    <c:v>South</c:v>
                  </c:pt>
                  <c:pt idx="1">
                    <c:v>South</c:v>
                  </c:pt>
                  <c:pt idx="2">
                    <c:v>South</c:v>
                  </c:pt>
                  <c:pt idx="3">
                    <c:v>South</c:v>
                  </c:pt>
                  <c:pt idx="4">
                    <c:v>South</c:v>
                  </c:pt>
                  <c:pt idx="5">
                    <c:v>South</c:v>
                  </c:pt>
                  <c:pt idx="6">
                    <c:v>South</c:v>
                  </c:pt>
                  <c:pt idx="7">
                    <c:v>South</c:v>
                  </c:pt>
                  <c:pt idx="8">
                    <c:v>South</c:v>
                  </c:pt>
                  <c:pt idx="9">
                    <c:v>South</c:v>
                  </c:pt>
                  <c:pt idx="10">
                    <c:v>South</c:v>
                  </c:pt>
                  <c:pt idx="11">
                    <c:v>South</c:v>
                  </c:pt>
                  <c:pt idx="12">
                    <c:v>South</c:v>
                  </c:pt>
                  <c:pt idx="13">
                    <c:v>South</c:v>
                  </c:pt>
                  <c:pt idx="14">
                    <c:v>South</c:v>
                  </c:pt>
                  <c:pt idx="15">
                    <c:v>South</c:v>
                  </c:pt>
                  <c:pt idx="16">
                    <c:v>South</c:v>
                  </c:pt>
                  <c:pt idx="17">
                    <c:v>South</c:v>
                  </c:pt>
                  <c:pt idx="18">
                    <c:v>South</c:v>
                  </c:pt>
                  <c:pt idx="19">
                    <c:v>South</c:v>
                  </c:pt>
                  <c:pt idx="20">
                    <c:v>South</c:v>
                  </c:pt>
                </c:lvl>
                <c:lvl>
                  <c:pt idx="0">
                    <c:v>January</c:v>
                  </c:pt>
                  <c:pt idx="1">
                    <c:v>February</c:v>
                  </c:pt>
                  <c:pt idx="2">
                    <c:v>March</c:v>
                  </c:pt>
                  <c:pt idx="3">
                    <c:v>April</c:v>
                  </c:pt>
                  <c:pt idx="4">
                    <c:v>May</c:v>
                  </c:pt>
                  <c:pt idx="5">
                    <c:v>November</c:v>
                  </c:pt>
                  <c:pt idx="6">
                    <c:v>December</c:v>
                  </c:pt>
                  <c:pt idx="7">
                    <c:v>January</c:v>
                  </c:pt>
                  <c:pt idx="8">
                    <c:v>February</c:v>
                  </c:pt>
                  <c:pt idx="9">
                    <c:v>March</c:v>
                  </c:pt>
                  <c:pt idx="10">
                    <c:v>April</c:v>
                  </c:pt>
                  <c:pt idx="11">
                    <c:v>May</c:v>
                  </c:pt>
                  <c:pt idx="12">
                    <c:v>November</c:v>
                  </c:pt>
                  <c:pt idx="13">
                    <c:v>December</c:v>
                  </c:pt>
                  <c:pt idx="14">
                    <c:v>January</c:v>
                  </c:pt>
                  <c:pt idx="15">
                    <c:v>February</c:v>
                  </c:pt>
                  <c:pt idx="16">
                    <c:v>March</c:v>
                  </c:pt>
                  <c:pt idx="17">
                    <c:v>April</c:v>
                  </c:pt>
                  <c:pt idx="18">
                    <c:v>May</c:v>
                  </c:pt>
                  <c:pt idx="19">
                    <c:v>November</c:v>
                  </c:pt>
                  <c:pt idx="20">
                    <c:v>December</c:v>
                  </c:pt>
                </c:lvl>
                <c:lvl>
                  <c:pt idx="0">
                    <c:v>2013</c:v>
                  </c:pt>
                  <c:pt idx="7">
                    <c:v>2014</c:v>
                  </c:pt>
                  <c:pt idx="14">
                    <c:v>2015</c:v>
                  </c:pt>
                </c:lvl>
              </c:multiLvlStrCache>
            </c:multiLvlStrRef>
          </c:cat>
          <c:val>
            <c:numRef>
              <c:f>PivotTableSalesMonthly!$D$5:$D$50</c:f>
              <c:numCache>
                <c:formatCode>General</c:formatCode>
                <c:ptCount val="21"/>
                <c:pt idx="0">
                  <c:v>7107</c:v>
                </c:pt>
                <c:pt idx="4">
                  <c:v>12240</c:v>
                </c:pt>
                <c:pt idx="5">
                  <c:v>5140</c:v>
                </c:pt>
                <c:pt idx="7">
                  <c:v>7107</c:v>
                </c:pt>
                <c:pt idx="11">
                  <c:v>14688</c:v>
                </c:pt>
                <c:pt idx="12">
                  <c:v>6168</c:v>
                </c:pt>
                <c:pt idx="14">
                  <c:v>7107</c:v>
                </c:pt>
                <c:pt idx="18">
                  <c:v>13708.8</c:v>
                </c:pt>
                <c:pt idx="19">
                  <c:v>5756.7999999999993</c:v>
                </c:pt>
              </c:numCache>
            </c:numRef>
          </c:val>
          <c:extLst>
            <c:ext xmlns:c16="http://schemas.microsoft.com/office/drawing/2014/chart" uri="{C3380CC4-5D6E-409C-BE32-E72D297353CC}">
              <c16:uniqueId val="{00000001-8E73-4063-A7C1-CAA20D96102C}"/>
            </c:ext>
          </c:extLst>
        </c:ser>
        <c:ser>
          <c:idx val="3"/>
          <c:order val="3"/>
          <c:tx>
            <c:strRef>
              <c:f>PivotTableSalesMonthly!$E$3:$E$4</c:f>
              <c:strCache>
                <c:ptCount val="1"/>
                <c:pt idx="0">
                  <c:v>Tasty Treats</c:v>
                </c:pt>
              </c:strCache>
            </c:strRef>
          </c:tx>
          <c:spPr>
            <a:solidFill>
              <a:schemeClr val="accent4"/>
            </a:solidFill>
            <a:ln>
              <a:noFill/>
            </a:ln>
            <a:effectLst/>
          </c:spPr>
          <c:invertIfNegative val="0"/>
          <c:cat>
            <c:multiLvlStrRef>
              <c:f>PivotTableSalesMonthly!$A$5:$A$50</c:f>
              <c:multiLvlStrCache>
                <c:ptCount val="21"/>
                <c:lvl>
                  <c:pt idx="0">
                    <c:v>South</c:v>
                  </c:pt>
                  <c:pt idx="1">
                    <c:v>South</c:v>
                  </c:pt>
                  <c:pt idx="2">
                    <c:v>South</c:v>
                  </c:pt>
                  <c:pt idx="3">
                    <c:v>South</c:v>
                  </c:pt>
                  <c:pt idx="4">
                    <c:v>South</c:v>
                  </c:pt>
                  <c:pt idx="5">
                    <c:v>South</c:v>
                  </c:pt>
                  <c:pt idx="6">
                    <c:v>South</c:v>
                  </c:pt>
                  <c:pt idx="7">
                    <c:v>South</c:v>
                  </c:pt>
                  <c:pt idx="8">
                    <c:v>South</c:v>
                  </c:pt>
                  <c:pt idx="9">
                    <c:v>South</c:v>
                  </c:pt>
                  <c:pt idx="10">
                    <c:v>South</c:v>
                  </c:pt>
                  <c:pt idx="11">
                    <c:v>South</c:v>
                  </c:pt>
                  <c:pt idx="12">
                    <c:v>South</c:v>
                  </c:pt>
                  <c:pt idx="13">
                    <c:v>South</c:v>
                  </c:pt>
                  <c:pt idx="14">
                    <c:v>South</c:v>
                  </c:pt>
                  <c:pt idx="15">
                    <c:v>South</c:v>
                  </c:pt>
                  <c:pt idx="16">
                    <c:v>South</c:v>
                  </c:pt>
                  <c:pt idx="17">
                    <c:v>South</c:v>
                  </c:pt>
                  <c:pt idx="18">
                    <c:v>South</c:v>
                  </c:pt>
                  <c:pt idx="19">
                    <c:v>South</c:v>
                  </c:pt>
                  <c:pt idx="20">
                    <c:v>South</c:v>
                  </c:pt>
                </c:lvl>
                <c:lvl>
                  <c:pt idx="0">
                    <c:v>January</c:v>
                  </c:pt>
                  <c:pt idx="1">
                    <c:v>February</c:v>
                  </c:pt>
                  <c:pt idx="2">
                    <c:v>March</c:v>
                  </c:pt>
                  <c:pt idx="3">
                    <c:v>April</c:v>
                  </c:pt>
                  <c:pt idx="4">
                    <c:v>May</c:v>
                  </c:pt>
                  <c:pt idx="5">
                    <c:v>November</c:v>
                  </c:pt>
                  <c:pt idx="6">
                    <c:v>December</c:v>
                  </c:pt>
                  <c:pt idx="7">
                    <c:v>January</c:v>
                  </c:pt>
                  <c:pt idx="8">
                    <c:v>February</c:v>
                  </c:pt>
                  <c:pt idx="9">
                    <c:v>March</c:v>
                  </c:pt>
                  <c:pt idx="10">
                    <c:v>April</c:v>
                  </c:pt>
                  <c:pt idx="11">
                    <c:v>May</c:v>
                  </c:pt>
                  <c:pt idx="12">
                    <c:v>November</c:v>
                  </c:pt>
                  <c:pt idx="13">
                    <c:v>December</c:v>
                  </c:pt>
                  <c:pt idx="14">
                    <c:v>January</c:v>
                  </c:pt>
                  <c:pt idx="15">
                    <c:v>February</c:v>
                  </c:pt>
                  <c:pt idx="16">
                    <c:v>March</c:v>
                  </c:pt>
                  <c:pt idx="17">
                    <c:v>April</c:v>
                  </c:pt>
                  <c:pt idx="18">
                    <c:v>May</c:v>
                  </c:pt>
                  <c:pt idx="19">
                    <c:v>November</c:v>
                  </c:pt>
                  <c:pt idx="20">
                    <c:v>December</c:v>
                  </c:pt>
                </c:lvl>
                <c:lvl>
                  <c:pt idx="0">
                    <c:v>2013</c:v>
                  </c:pt>
                  <c:pt idx="7">
                    <c:v>2014</c:v>
                  </c:pt>
                  <c:pt idx="14">
                    <c:v>2015</c:v>
                  </c:pt>
                </c:lvl>
              </c:multiLvlStrCache>
            </c:multiLvlStrRef>
          </c:cat>
          <c:val>
            <c:numRef>
              <c:f>PivotTableSalesMonthly!$E$5:$E$50</c:f>
              <c:numCache>
                <c:formatCode>General</c:formatCode>
                <c:ptCount val="21"/>
                <c:pt idx="1">
                  <c:v>20391.25</c:v>
                </c:pt>
                <c:pt idx="2">
                  <c:v>392.5</c:v>
                </c:pt>
                <c:pt idx="6">
                  <c:v>5912.5</c:v>
                </c:pt>
                <c:pt idx="8">
                  <c:v>22245</c:v>
                </c:pt>
                <c:pt idx="9">
                  <c:v>471</c:v>
                </c:pt>
                <c:pt idx="13">
                  <c:v>7095</c:v>
                </c:pt>
                <c:pt idx="15">
                  <c:v>22245</c:v>
                </c:pt>
                <c:pt idx="16">
                  <c:v>439.59999999999997</c:v>
                </c:pt>
                <c:pt idx="20">
                  <c:v>6622</c:v>
                </c:pt>
              </c:numCache>
            </c:numRef>
          </c:val>
          <c:extLst>
            <c:ext xmlns:c16="http://schemas.microsoft.com/office/drawing/2014/chart" uri="{C3380CC4-5D6E-409C-BE32-E72D297353CC}">
              <c16:uniqueId val="{00000002-8E73-4063-A7C1-CAA20D96102C}"/>
            </c:ext>
          </c:extLst>
        </c:ser>
        <c:dLbls>
          <c:showLegendKey val="0"/>
          <c:showVal val="0"/>
          <c:showCatName val="0"/>
          <c:showSerName val="0"/>
          <c:showPercent val="0"/>
          <c:showBubbleSize val="0"/>
        </c:dLbls>
        <c:gapWidth val="219"/>
        <c:overlap val="-27"/>
        <c:axId val="153496655"/>
        <c:axId val="1021844351"/>
      </c:barChart>
      <c:catAx>
        <c:axId val="15349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844351"/>
        <c:crosses val="autoZero"/>
        <c:auto val="1"/>
        <c:lblAlgn val="ctr"/>
        <c:lblOffset val="100"/>
        <c:noMultiLvlLbl val="0"/>
      </c:catAx>
      <c:valAx>
        <c:axId val="1021844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96655"/>
        <c:crosses val="autoZero"/>
        <c:crossBetween val="between"/>
      </c:valAx>
      <c:spPr>
        <a:noFill/>
        <a:ln>
          <a:noFill/>
        </a:ln>
        <a:effectLst/>
      </c:spPr>
    </c:plotArea>
    <c:legend>
      <c:legendPos val="r"/>
      <c:layout>
        <c:manualLayout>
          <c:xMode val="edge"/>
          <c:yMode val="edge"/>
          <c:x val="0.66296991408682615"/>
          <c:y val="8.3482033271020922E-3"/>
          <c:w val="0.1052534600149151"/>
          <c:h val="0.245893285371702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[Pivot_Tables_And_Pivot_Charts_With_Data_From_Single_Table.xlsx]PivotTableSalesPercentDiff!PivotTable2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PivotTableSalesPercentDiff!$B$3</c:f>
              <c:strCache>
                <c:ptCount val="1"/>
                <c:pt idx="0">
                  <c:v>Sum of Sales</c:v>
                </c:pt>
              </c:strCache>
            </c:strRef>
          </c:tx>
          <c:spPr>
            <a:solidFill>
              <a:schemeClr val="accent1"/>
            </a:solidFill>
            <a:ln>
              <a:noFill/>
            </a:ln>
            <a:effectLst/>
          </c:spPr>
          <c:invertIfNegative val="0"/>
          <c:cat>
            <c:multiLvlStrRef>
              <c:f>PivotTableSalesPercentDiff!$A$4:$A$28</c:f>
              <c:multiLvlStrCache>
                <c:ptCount val="21"/>
                <c:lvl>
                  <c:pt idx="0">
                    <c:v>January</c:v>
                  </c:pt>
                  <c:pt idx="1">
                    <c:v>February</c:v>
                  </c:pt>
                  <c:pt idx="2">
                    <c:v>March</c:v>
                  </c:pt>
                  <c:pt idx="3">
                    <c:v>April</c:v>
                  </c:pt>
                  <c:pt idx="4">
                    <c:v>May</c:v>
                  </c:pt>
                  <c:pt idx="5">
                    <c:v>November</c:v>
                  </c:pt>
                  <c:pt idx="6">
                    <c:v>December</c:v>
                  </c:pt>
                  <c:pt idx="7">
                    <c:v>January</c:v>
                  </c:pt>
                  <c:pt idx="8">
                    <c:v>February</c:v>
                  </c:pt>
                  <c:pt idx="9">
                    <c:v>March</c:v>
                  </c:pt>
                  <c:pt idx="10">
                    <c:v>April</c:v>
                  </c:pt>
                  <c:pt idx="11">
                    <c:v>May</c:v>
                  </c:pt>
                  <c:pt idx="12">
                    <c:v>November</c:v>
                  </c:pt>
                  <c:pt idx="13">
                    <c:v>December</c:v>
                  </c:pt>
                  <c:pt idx="14">
                    <c:v>January</c:v>
                  </c:pt>
                  <c:pt idx="15">
                    <c:v>February</c:v>
                  </c:pt>
                  <c:pt idx="16">
                    <c:v>March</c:v>
                  </c:pt>
                  <c:pt idx="17">
                    <c:v>April</c:v>
                  </c:pt>
                  <c:pt idx="18">
                    <c:v>May</c:v>
                  </c:pt>
                  <c:pt idx="19">
                    <c:v>November</c:v>
                  </c:pt>
                  <c:pt idx="20">
                    <c:v>December</c:v>
                  </c:pt>
                </c:lvl>
                <c:lvl>
                  <c:pt idx="0">
                    <c:v>2013</c:v>
                  </c:pt>
                  <c:pt idx="7">
                    <c:v>2014</c:v>
                  </c:pt>
                  <c:pt idx="14">
                    <c:v>2015</c:v>
                  </c:pt>
                </c:lvl>
              </c:multiLvlStrCache>
            </c:multiLvlStrRef>
          </c:cat>
          <c:val>
            <c:numRef>
              <c:f>PivotTableSalesPercentDiff!$B$4:$B$28</c:f>
              <c:numCache>
                <c:formatCode>"$"#,##0.00;[Red]"$"#,##0.00</c:formatCode>
                <c:ptCount val="21"/>
                <c:pt idx="0">
                  <c:v>171668</c:v>
                </c:pt>
                <c:pt idx="1">
                  <c:v>165964.75</c:v>
                </c:pt>
                <c:pt idx="2">
                  <c:v>125317.5</c:v>
                </c:pt>
                <c:pt idx="3">
                  <c:v>192920</c:v>
                </c:pt>
                <c:pt idx="4">
                  <c:v>129070</c:v>
                </c:pt>
                <c:pt idx="5">
                  <c:v>119947.5</c:v>
                </c:pt>
                <c:pt idx="6">
                  <c:v>103775</c:v>
                </c:pt>
                <c:pt idx="7">
                  <c:v>170834</c:v>
                </c:pt>
                <c:pt idx="8">
                  <c:v>177690</c:v>
                </c:pt>
                <c:pt idx="9">
                  <c:v>150381</c:v>
                </c:pt>
                <c:pt idx="10">
                  <c:v>231504</c:v>
                </c:pt>
                <c:pt idx="11">
                  <c:v>154884</c:v>
                </c:pt>
                <c:pt idx="12">
                  <c:v>128863</c:v>
                </c:pt>
                <c:pt idx="13">
                  <c:v>124530</c:v>
                </c:pt>
                <c:pt idx="14">
                  <c:v>170834</c:v>
                </c:pt>
                <c:pt idx="15">
                  <c:v>177690</c:v>
                </c:pt>
                <c:pt idx="16">
                  <c:v>147506.20000000001</c:v>
                </c:pt>
                <c:pt idx="17">
                  <c:v>216070.39999999994</c:v>
                </c:pt>
                <c:pt idx="18">
                  <c:v>144558.40000000002</c:v>
                </c:pt>
                <c:pt idx="19">
                  <c:v>134341.19999999995</c:v>
                </c:pt>
                <c:pt idx="20">
                  <c:v>116228</c:v>
                </c:pt>
              </c:numCache>
            </c:numRef>
          </c:val>
          <c:extLst>
            <c:ext xmlns:c16="http://schemas.microsoft.com/office/drawing/2014/chart" uri="{C3380CC4-5D6E-409C-BE32-E72D297353CC}">
              <c16:uniqueId val="{00000000-F811-48A0-B634-1211F76D135A}"/>
            </c:ext>
          </c:extLst>
        </c:ser>
        <c:dLbls>
          <c:showLegendKey val="0"/>
          <c:showVal val="0"/>
          <c:showCatName val="0"/>
          <c:showSerName val="0"/>
          <c:showPercent val="0"/>
          <c:showBubbleSize val="0"/>
        </c:dLbls>
        <c:gapWidth val="219"/>
        <c:overlap val="-27"/>
        <c:axId val="1594567200"/>
        <c:axId val="1594561440"/>
      </c:barChart>
      <c:lineChart>
        <c:grouping val="standard"/>
        <c:varyColors val="0"/>
        <c:ser>
          <c:idx val="1"/>
          <c:order val="1"/>
          <c:tx>
            <c:strRef>
              <c:f>PivotTableSalesPercentDiff!$C$3</c:f>
              <c:strCache>
                <c:ptCount val="1"/>
                <c:pt idx="0">
                  <c:v>% Sales Difference From</c:v>
                </c:pt>
              </c:strCache>
            </c:strRef>
          </c:tx>
          <c:spPr>
            <a:ln w="28575" cap="rnd">
              <a:solidFill>
                <a:schemeClr val="accent2"/>
              </a:solidFill>
              <a:round/>
            </a:ln>
            <a:effectLst/>
          </c:spPr>
          <c:marker>
            <c:symbol val="none"/>
          </c:marker>
          <c:cat>
            <c:multiLvlStrRef>
              <c:f>PivotTableSalesPercentDiff!$A$4:$A$28</c:f>
              <c:multiLvlStrCache>
                <c:ptCount val="21"/>
                <c:lvl>
                  <c:pt idx="0">
                    <c:v>January</c:v>
                  </c:pt>
                  <c:pt idx="1">
                    <c:v>February</c:v>
                  </c:pt>
                  <c:pt idx="2">
                    <c:v>March</c:v>
                  </c:pt>
                  <c:pt idx="3">
                    <c:v>April</c:v>
                  </c:pt>
                  <c:pt idx="4">
                    <c:v>May</c:v>
                  </c:pt>
                  <c:pt idx="5">
                    <c:v>November</c:v>
                  </c:pt>
                  <c:pt idx="6">
                    <c:v>December</c:v>
                  </c:pt>
                  <c:pt idx="7">
                    <c:v>January</c:v>
                  </c:pt>
                  <c:pt idx="8">
                    <c:v>February</c:v>
                  </c:pt>
                  <c:pt idx="9">
                    <c:v>March</c:v>
                  </c:pt>
                  <c:pt idx="10">
                    <c:v>April</c:v>
                  </c:pt>
                  <c:pt idx="11">
                    <c:v>May</c:v>
                  </c:pt>
                  <c:pt idx="12">
                    <c:v>November</c:v>
                  </c:pt>
                  <c:pt idx="13">
                    <c:v>December</c:v>
                  </c:pt>
                  <c:pt idx="14">
                    <c:v>January</c:v>
                  </c:pt>
                  <c:pt idx="15">
                    <c:v>February</c:v>
                  </c:pt>
                  <c:pt idx="16">
                    <c:v>March</c:v>
                  </c:pt>
                  <c:pt idx="17">
                    <c:v>April</c:v>
                  </c:pt>
                  <c:pt idx="18">
                    <c:v>May</c:v>
                  </c:pt>
                  <c:pt idx="19">
                    <c:v>November</c:v>
                  </c:pt>
                  <c:pt idx="20">
                    <c:v>December</c:v>
                  </c:pt>
                </c:lvl>
                <c:lvl>
                  <c:pt idx="0">
                    <c:v>2013</c:v>
                  </c:pt>
                  <c:pt idx="7">
                    <c:v>2014</c:v>
                  </c:pt>
                  <c:pt idx="14">
                    <c:v>2015</c:v>
                  </c:pt>
                </c:lvl>
              </c:multiLvlStrCache>
            </c:multiLvlStrRef>
          </c:cat>
          <c:val>
            <c:numRef>
              <c:f>PivotTableSalesPercentDiff!$C$4:$C$28</c:f>
              <c:numCache>
                <c:formatCode>0.00%</c:formatCode>
                <c:ptCount val="21"/>
                <c:pt idx="1">
                  <c:v>-3.3222557494699073E-2</c:v>
                </c:pt>
                <c:pt idx="2">
                  <c:v>-0.24491495935130803</c:v>
                </c:pt>
                <c:pt idx="3">
                  <c:v>0.53944979751431366</c:v>
                </c:pt>
                <c:pt idx="4">
                  <c:v>-0.33096620360771306</c:v>
                </c:pt>
                <c:pt idx="5">
                  <c:v>-7.0678701479817155E-2</c:v>
                </c:pt>
                <c:pt idx="6">
                  <c:v>-0.13482982138018718</c:v>
                </c:pt>
                <c:pt idx="8">
                  <c:v>4.0132526312092444E-2</c:v>
                </c:pt>
                <c:pt idx="9">
                  <c:v>-0.15368900894816817</c:v>
                </c:pt>
                <c:pt idx="10">
                  <c:v>0.53944979751431366</c:v>
                </c:pt>
                <c:pt idx="11">
                  <c:v>-0.33096620360771306</c:v>
                </c:pt>
                <c:pt idx="12">
                  <c:v>-0.16800315074507374</c:v>
                </c:pt>
                <c:pt idx="13">
                  <c:v>-3.3624857406703242E-2</c:v>
                </c:pt>
                <c:pt idx="15">
                  <c:v>4.0132526312092444E-2</c:v>
                </c:pt>
                <c:pt idx="16">
                  <c:v>-0.16986774720018002</c:v>
                </c:pt>
                <c:pt idx="17">
                  <c:v>0.46482249559679473</c:v>
                </c:pt>
                <c:pt idx="18">
                  <c:v>-0.33096620360771273</c:v>
                </c:pt>
                <c:pt idx="19">
                  <c:v>-7.0678701479817627E-2</c:v>
                </c:pt>
                <c:pt idx="20">
                  <c:v>-0.13482982138018687</c:v>
                </c:pt>
              </c:numCache>
            </c:numRef>
          </c:val>
          <c:smooth val="0"/>
          <c:extLst>
            <c:ext xmlns:c16="http://schemas.microsoft.com/office/drawing/2014/chart" uri="{C3380CC4-5D6E-409C-BE32-E72D297353CC}">
              <c16:uniqueId val="{00000001-F811-48A0-B634-1211F76D135A}"/>
            </c:ext>
          </c:extLst>
        </c:ser>
        <c:dLbls>
          <c:showLegendKey val="0"/>
          <c:showVal val="0"/>
          <c:showCatName val="0"/>
          <c:showSerName val="0"/>
          <c:showPercent val="0"/>
          <c:showBubbleSize val="0"/>
        </c:dLbls>
        <c:marker val="1"/>
        <c:smooth val="0"/>
        <c:axId val="1583342416"/>
        <c:axId val="1583345296"/>
      </c:lineChart>
      <c:catAx>
        <c:axId val="159456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561440"/>
        <c:crosses val="autoZero"/>
        <c:auto val="1"/>
        <c:lblAlgn val="ctr"/>
        <c:lblOffset val="100"/>
        <c:noMultiLvlLbl val="0"/>
      </c:catAx>
      <c:valAx>
        <c:axId val="15945614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567200"/>
        <c:crosses val="autoZero"/>
        <c:crossBetween val="between"/>
      </c:valAx>
      <c:valAx>
        <c:axId val="158334529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342416"/>
        <c:crosses val="max"/>
        <c:crossBetween val="between"/>
      </c:valAx>
      <c:catAx>
        <c:axId val="1583342416"/>
        <c:scaling>
          <c:orientation val="minMax"/>
        </c:scaling>
        <c:delete val="1"/>
        <c:axPos val="b"/>
        <c:numFmt formatCode="General" sourceLinked="1"/>
        <c:majorTickMark val="out"/>
        <c:minorTickMark val="none"/>
        <c:tickLblPos val="nextTo"/>
        <c:crossAx val="15833452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228600</xdr:colOff>
      <xdr:row>11</xdr:row>
      <xdr:rowOff>30480</xdr:rowOff>
    </xdr:from>
    <xdr:to>
      <xdr:col>16</xdr:col>
      <xdr:colOff>350520</xdr:colOff>
      <xdr:row>36</xdr:row>
      <xdr:rowOff>76200</xdr:rowOff>
    </xdr:to>
    <xdr:graphicFrame macro="">
      <xdr:nvGraphicFramePr>
        <xdr:cNvPr id="2" name="Chart 1">
          <a:extLst>
            <a:ext uri="{FF2B5EF4-FFF2-40B4-BE49-F238E27FC236}">
              <a16:creationId xmlns:a16="http://schemas.microsoft.com/office/drawing/2014/main" id="{26569C3B-8029-4497-DB1E-4E9BDAB652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76200</xdr:colOff>
      <xdr:row>2</xdr:row>
      <xdr:rowOff>53340</xdr:rowOff>
    </xdr:from>
    <xdr:to>
      <xdr:col>10</xdr:col>
      <xdr:colOff>731520</xdr:colOff>
      <xdr:row>9</xdr:row>
      <xdr:rowOff>68581</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35B95B73-1CAD-7804-980D-D442A765F1C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170420" y="388620"/>
              <a:ext cx="1851660" cy="11887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114300</xdr:colOff>
      <xdr:row>2</xdr:row>
      <xdr:rowOff>45721</xdr:rowOff>
    </xdr:from>
    <xdr:to>
      <xdr:col>8</xdr:col>
      <xdr:colOff>533400</xdr:colOff>
      <xdr:row>9</xdr:row>
      <xdr:rowOff>137161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03469DC4-B4B0-2A3E-DB07-855D84B3E49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82540" y="381001"/>
              <a:ext cx="1767840" cy="1264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129540</xdr:colOff>
      <xdr:row>1</xdr:row>
      <xdr:rowOff>152400</xdr:rowOff>
    </xdr:from>
    <xdr:to>
      <xdr:col>15</xdr:col>
      <xdr:colOff>335280</xdr:colOff>
      <xdr:row>30</xdr:row>
      <xdr:rowOff>106680</xdr:rowOff>
    </xdr:to>
    <xdr:graphicFrame macro="">
      <xdr:nvGraphicFramePr>
        <xdr:cNvPr id="2" name="Chart 1">
          <a:extLst>
            <a:ext uri="{FF2B5EF4-FFF2-40B4-BE49-F238E27FC236}">
              <a16:creationId xmlns:a16="http://schemas.microsoft.com/office/drawing/2014/main" id="{EFA01E7C-F623-946E-B5A3-2145CF0709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464820</xdr:colOff>
      <xdr:row>1</xdr:row>
      <xdr:rowOff>106681</xdr:rowOff>
    </xdr:from>
    <xdr:to>
      <xdr:col>18</xdr:col>
      <xdr:colOff>464820</xdr:colOff>
      <xdr:row>8</xdr:row>
      <xdr:rowOff>83821</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7CA5EFD0-6D4F-935B-C404-464E39260D9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140440" y="274321"/>
              <a:ext cx="182880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mayanti Naik" refreshedDate="45980.624352777777" createdVersion="8" refreshedVersion="8" minRefreshableVersion="3" recordCount="444" xr:uid="{794CBFF7-17EB-4666-AA5A-97EC6C66B0E0}">
  <cacheSource type="worksheet">
    <worksheetSource name="YearlySales"/>
  </cacheSource>
  <cacheFields count="9">
    <cacheField name="Year" numFmtId="0">
      <sharedItems containsSemiMixedTypes="0" containsString="0" containsNumber="1" containsInteger="1" minValue="2013" maxValue="2015" count="3">
        <n v="2013"/>
        <n v="2014"/>
        <n v="2015"/>
      </sharedItems>
    </cacheField>
    <cacheField name="Month" numFmtId="0">
      <sharedItems count="7">
        <s v="January"/>
        <s v="February"/>
        <s v="March"/>
        <s v="April"/>
        <s v="May"/>
        <s v="November"/>
        <s v="December"/>
      </sharedItems>
      <fieldGroup par="8"/>
    </cacheField>
    <cacheField name="Type" numFmtId="0">
      <sharedItems count="4">
        <s v="Ice Cream"/>
        <s v="Frozen Yogurt"/>
        <s v="Tasty Treats"/>
        <s v="Popsicles"/>
      </sharedItems>
    </cacheField>
    <cacheField name="Salesperson" numFmtId="0">
      <sharedItems count="5">
        <s v="Bishop"/>
        <s v="Lee"/>
        <s v="Parker"/>
        <s v="Pullen"/>
        <s v="Watson"/>
      </sharedItems>
    </cacheField>
    <cacheField name="Region" numFmtId="0">
      <sharedItems count="4">
        <s v="West"/>
        <s v="Central"/>
        <s v="North"/>
        <s v="South"/>
      </sharedItems>
    </cacheField>
    <cacheField name="Sales" numFmtId="8">
      <sharedItems containsSemiMixedTypes="0" containsString="0" containsNumber="1" minValue="196.25" maxValue="14647.5"/>
    </cacheField>
    <cacheField name="Units" numFmtId="0">
      <sharedItems containsSemiMixedTypes="0" containsString="0" containsNumber="1" containsInteger="1" minValue="157" maxValue="9765"/>
    </cacheField>
    <cacheField name="Order #" numFmtId="49">
      <sharedItems/>
    </cacheField>
    <cacheField name="Month2" numFmtId="0" databaseField="0">
      <fieldGroup base="1">
        <discretePr count="7">
          <x v="0"/>
          <x v="0"/>
          <x v="0"/>
          <x v="1"/>
          <x v="1"/>
          <x v="2"/>
          <x v="2"/>
        </discretePr>
        <groupItems count="3">
          <s v="Group1"/>
          <s v="Group2"/>
          <s v="Group3"/>
        </groupItems>
      </fieldGroup>
    </cacheField>
  </cacheFields>
  <extLst>
    <ext xmlns:x14="http://schemas.microsoft.com/office/spreadsheetml/2009/9/main" uri="{725AE2AE-9491-48be-B2B4-4EB974FC3084}">
      <x14:pivotCacheDefinition pivotCacheId="1289686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ayanti Naik" refreshedDate="46009.687388888888" backgroundQuery="1" createdVersion="8" refreshedVersion="8" minRefreshableVersion="3" recordCount="0" supportSubquery="1" supportAdvancedDrill="1" xr:uid="{444940B2-74A6-4D8E-82DC-8014E748377B}">
  <cacheSource type="external" connectionId="1"/>
  <cacheFields count="4">
    <cacheField name="[YearlySales].[Salesperson].[Salesperson]" caption="Salesperson" numFmtId="0" hierarchy="3" level="1">
      <sharedItems count="5">
        <s v="Bishop"/>
        <s v="Lee"/>
        <s v="Parker"/>
        <s v="Pullen"/>
        <s v="Watson"/>
      </sharedItems>
    </cacheField>
    <cacheField name="[YearlySales].[Year].[Year]" caption="Year" numFmtId="0" level="1">
      <sharedItems containsSemiMixedTypes="0" containsString="0" containsNumber="1" containsInteger="1" minValue="2013" maxValue="2015" count="3">
        <n v="2013"/>
        <n v="2014"/>
        <n v="2015"/>
      </sharedItems>
      <extLst>
        <ext xmlns:x15="http://schemas.microsoft.com/office/spreadsheetml/2010/11/main" uri="{4F2E5C28-24EA-4eb8-9CBF-B6C8F9C3D259}">
          <x15:cachedUniqueNames>
            <x15:cachedUniqueName index="0" name="[YearlySales].[Year].&amp;[2013]"/>
            <x15:cachedUniqueName index="1" name="[YearlySales].[Year].&amp;[2014]"/>
            <x15:cachedUniqueName index="2" name="[YearlySales].[Year].&amp;[2015]"/>
          </x15:cachedUniqueNames>
        </ext>
      </extLst>
    </cacheField>
    <cacheField name="[Measures].[Sum of Sales]" caption="Sum of Sales" numFmtId="0" hierarchy="10" level="32767"/>
    <cacheField name="Dummy0" numFmtId="0" hierarchy="12" level="32767">
      <extLst>
        <ext xmlns:x14="http://schemas.microsoft.com/office/spreadsheetml/2009/9/main" uri="{63CAB8AC-B538-458d-9737-405883B0398D}">
          <x14:cacheField ignore="1"/>
        </ext>
      </extLst>
    </cacheField>
  </cacheFields>
  <cacheHierarchies count="13">
    <cacheHierarchy uniqueName="[YearlySales].[Year]" caption="Year" attribute="1" defaultMemberUniqueName="[YearlySales].[Year].[All]" allUniqueName="[YearlySales].[Year].[All]" dimensionUniqueName="[YearlySales]" displayFolder="" count="2" memberValueDatatype="20" unbalanced="0">
      <fieldsUsage count="2">
        <fieldUsage x="-1"/>
        <fieldUsage x="1"/>
      </fieldsUsage>
    </cacheHierarchy>
    <cacheHierarchy uniqueName="[YearlySales].[Month]" caption="Month" attribute="1" defaultMemberUniqueName="[YearlySales].[Month].[All]" allUniqueName="[YearlySales].[Month].[All]" dimensionUniqueName="[YearlySales]" displayFolder="" count="0" memberValueDatatype="130" unbalanced="0"/>
    <cacheHierarchy uniqueName="[YearlySales].[Type]" caption="Type" attribute="1" defaultMemberUniqueName="[YearlySales].[Type].[All]" allUniqueName="[YearlySales].[Type].[All]" dimensionUniqueName="[YearlySales]" displayFolder="" count="0" memberValueDatatype="130" unbalanced="0"/>
    <cacheHierarchy uniqueName="[YearlySales].[Salesperson]" caption="Salesperson" attribute="1" defaultMemberUniqueName="[YearlySales].[Salesperson].[All]" allUniqueName="[YearlySales].[Salesperson].[All]" dimensionUniqueName="[YearlySales]" displayFolder="" count="2" memberValueDatatype="130" unbalanced="0">
      <fieldsUsage count="2">
        <fieldUsage x="-1"/>
        <fieldUsage x="0"/>
      </fieldsUsage>
    </cacheHierarchy>
    <cacheHierarchy uniqueName="[YearlySales].[Region]" caption="Region" attribute="1" defaultMemberUniqueName="[YearlySales].[Region].[All]" allUniqueName="[YearlySales].[Region].[All]" dimensionUniqueName="[YearlySales]" displayFolder="" count="0" memberValueDatatype="130" unbalanced="0"/>
    <cacheHierarchy uniqueName="[YearlySales].[Sales]" caption="Sales" attribute="1" defaultMemberUniqueName="[YearlySales].[Sales].[All]" allUniqueName="[YearlySales].[Sales].[All]" dimensionUniqueName="[YearlySales]" displayFolder="" count="2" memberValueDatatype="5" unbalanced="0"/>
    <cacheHierarchy uniqueName="[YearlySales].[Units]" caption="Units" attribute="1" defaultMemberUniqueName="[YearlySales].[Units].[All]" allUniqueName="[YearlySales].[Units].[All]" dimensionUniqueName="[YearlySales]" displayFolder="" count="0" memberValueDatatype="20" unbalanced="0"/>
    <cacheHierarchy uniqueName="[YearlySales].[Order #]" caption="Order #" attribute="1" defaultMemberUniqueName="[YearlySales].[Order #].[All]" allUniqueName="[YearlySales].[Order #].[All]" dimensionUniqueName="[YearlySales]" displayFolder="" count="0" memberValueDatatype="130" unbalanced="0"/>
    <cacheHierarchy uniqueName="[Measures].[__XL_Count YearlySales]" caption="__XL_Count YearlySales" measure="1" displayFolder="" measureGroup="YearlySales" count="0" hidden="1"/>
    <cacheHierarchy uniqueName="[Measures].[__No measures defined]" caption="__No measures defined" measure="1" displayFolder="" count="0" hidden="1"/>
    <cacheHierarchy uniqueName="[Measures].[Sum of Sales]" caption="Sum of Sales" measure="1" displayFolder="" measureGroup="YearlySales" count="0" oneField="1" hidden="1">
      <fieldsUsage count="1">
        <fieldUsage x="2"/>
      </fieldsUsage>
      <extLst>
        <ext xmlns:x15="http://schemas.microsoft.com/office/spreadsheetml/2010/11/main" uri="{B97F6D7D-B522-45F9-BDA1-12C45D357490}">
          <x15:cacheHierarchy aggregatedColumn="5"/>
        </ext>
      </extLst>
    </cacheHierarchy>
    <cacheHierarchy uniqueName="[Measures].[Average of Sales]" caption="Average of Sales" measure="1" displayFolder="" measureGroup="YearlySales" count="0" hidden="1">
      <extLst>
        <ext xmlns:x15="http://schemas.microsoft.com/office/spreadsheetml/2010/11/main" uri="{B97F6D7D-B522-45F9-BDA1-12C45D357490}">
          <x15:cacheHierarchy aggregatedColumn="5"/>
        </ext>
      </extLst>
    </cacheHierarchy>
    <cacheHierarchy uniqueName="Dummy0" caption="Year"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YearlySales" uniqueName="[YearlySales]" caption="YearlySales"/>
  </dimensions>
  <measureGroups count="1">
    <measureGroup name="YearlySales" caption="Yearly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4">
  <r>
    <x v="0"/>
    <x v="0"/>
    <x v="0"/>
    <x v="0"/>
    <x v="0"/>
    <n v="2395.5"/>
    <n v="1597"/>
    <s v="001"/>
  </r>
  <r>
    <x v="0"/>
    <x v="0"/>
    <x v="0"/>
    <x v="0"/>
    <x v="0"/>
    <n v="11761.5"/>
    <n v="7841"/>
    <s v="002"/>
  </r>
  <r>
    <x v="0"/>
    <x v="0"/>
    <x v="1"/>
    <x v="0"/>
    <x v="0"/>
    <n v="8943"/>
    <n v="5962"/>
    <s v="003"/>
  </r>
  <r>
    <x v="0"/>
    <x v="0"/>
    <x v="0"/>
    <x v="0"/>
    <x v="0"/>
    <n v="2395.5"/>
    <n v="1597"/>
    <s v="004"/>
  </r>
  <r>
    <x v="0"/>
    <x v="0"/>
    <x v="0"/>
    <x v="0"/>
    <x v="0"/>
    <n v="11761.5"/>
    <n v="7841"/>
    <s v="005"/>
  </r>
  <r>
    <x v="0"/>
    <x v="0"/>
    <x v="1"/>
    <x v="0"/>
    <x v="0"/>
    <n v="8943"/>
    <n v="5962"/>
    <s v="006"/>
  </r>
  <r>
    <x v="0"/>
    <x v="0"/>
    <x v="1"/>
    <x v="1"/>
    <x v="1"/>
    <n v="14596.5"/>
    <n v="9731"/>
    <s v="007"/>
  </r>
  <r>
    <x v="0"/>
    <x v="0"/>
    <x v="2"/>
    <x v="1"/>
    <x v="1"/>
    <n v="8793"/>
    <n v="5862"/>
    <s v="008"/>
  </r>
  <r>
    <x v="0"/>
    <x v="0"/>
    <x v="1"/>
    <x v="1"/>
    <x v="1"/>
    <n v="14596.5"/>
    <n v="9731"/>
    <s v="009"/>
  </r>
  <r>
    <x v="0"/>
    <x v="0"/>
    <x v="2"/>
    <x v="1"/>
    <x v="1"/>
    <n v="8793"/>
    <n v="5862"/>
    <s v="010"/>
  </r>
  <r>
    <x v="0"/>
    <x v="0"/>
    <x v="0"/>
    <x v="2"/>
    <x v="2"/>
    <n v="4666"/>
    <n v="5623"/>
    <s v="011"/>
  </r>
  <r>
    <x v="0"/>
    <x v="0"/>
    <x v="0"/>
    <x v="2"/>
    <x v="2"/>
    <n v="7318.5"/>
    <n v="4879"/>
    <s v="012"/>
  </r>
  <r>
    <x v="0"/>
    <x v="0"/>
    <x v="0"/>
    <x v="2"/>
    <x v="2"/>
    <n v="5500"/>
    <n v="5623"/>
    <s v="013"/>
  </r>
  <r>
    <x v="0"/>
    <x v="0"/>
    <x v="0"/>
    <x v="2"/>
    <x v="2"/>
    <n v="7318.5"/>
    <n v="4879"/>
    <s v="014"/>
  </r>
  <r>
    <x v="0"/>
    <x v="0"/>
    <x v="3"/>
    <x v="3"/>
    <x v="3"/>
    <n v="3553.5"/>
    <n v="2369"/>
    <s v="015"/>
  </r>
  <r>
    <x v="0"/>
    <x v="0"/>
    <x v="3"/>
    <x v="3"/>
    <x v="3"/>
    <n v="3553.5"/>
    <n v="2369"/>
    <s v="016"/>
  </r>
  <r>
    <x v="0"/>
    <x v="0"/>
    <x v="1"/>
    <x v="4"/>
    <x v="1"/>
    <n v="14596.5"/>
    <n v="9731"/>
    <s v="017"/>
  </r>
  <r>
    <x v="0"/>
    <x v="0"/>
    <x v="2"/>
    <x v="4"/>
    <x v="1"/>
    <n v="8793"/>
    <n v="5862"/>
    <s v="018"/>
  </r>
  <r>
    <x v="0"/>
    <x v="0"/>
    <x v="1"/>
    <x v="4"/>
    <x v="1"/>
    <n v="14596.5"/>
    <n v="9731"/>
    <s v="019"/>
  </r>
  <r>
    <x v="0"/>
    <x v="0"/>
    <x v="2"/>
    <x v="4"/>
    <x v="1"/>
    <n v="8793"/>
    <n v="5862"/>
    <s v="020"/>
  </r>
  <r>
    <x v="0"/>
    <x v="1"/>
    <x v="0"/>
    <x v="0"/>
    <x v="0"/>
    <n v="4887"/>
    <n v="3258"/>
    <s v="021"/>
  </r>
  <r>
    <x v="0"/>
    <x v="1"/>
    <x v="0"/>
    <x v="0"/>
    <x v="0"/>
    <n v="4887"/>
    <n v="3258"/>
    <s v="022"/>
  </r>
  <r>
    <x v="0"/>
    <x v="1"/>
    <x v="2"/>
    <x v="1"/>
    <x v="1"/>
    <n v="11122.5"/>
    <n v="7415"/>
    <s v="023"/>
  </r>
  <r>
    <x v="0"/>
    <x v="1"/>
    <x v="0"/>
    <x v="1"/>
    <x v="1"/>
    <n v="13428"/>
    <n v="8952"/>
    <s v="024"/>
  </r>
  <r>
    <x v="0"/>
    <x v="1"/>
    <x v="2"/>
    <x v="1"/>
    <x v="1"/>
    <n v="14000"/>
    <n v="7415"/>
    <s v="025"/>
  </r>
  <r>
    <x v="0"/>
    <x v="1"/>
    <x v="0"/>
    <x v="1"/>
    <x v="1"/>
    <n v="13428"/>
    <n v="8952"/>
    <s v="026"/>
  </r>
  <r>
    <x v="0"/>
    <x v="1"/>
    <x v="1"/>
    <x v="2"/>
    <x v="2"/>
    <n v="3897"/>
    <n v="2598"/>
    <s v="027"/>
  </r>
  <r>
    <x v="0"/>
    <x v="1"/>
    <x v="1"/>
    <x v="2"/>
    <x v="2"/>
    <n v="8832"/>
    <n v="5888"/>
    <s v="028"/>
  </r>
  <r>
    <x v="0"/>
    <x v="1"/>
    <x v="1"/>
    <x v="2"/>
    <x v="2"/>
    <n v="3000"/>
    <n v="2598"/>
    <s v="029"/>
  </r>
  <r>
    <x v="0"/>
    <x v="1"/>
    <x v="1"/>
    <x v="2"/>
    <x v="2"/>
    <n v="8832"/>
    <n v="5888"/>
    <s v="030"/>
  </r>
  <r>
    <x v="0"/>
    <x v="1"/>
    <x v="2"/>
    <x v="3"/>
    <x v="3"/>
    <n v="11122.5"/>
    <n v="7415"/>
    <s v="031"/>
  </r>
  <r>
    <x v="0"/>
    <x v="1"/>
    <x v="1"/>
    <x v="3"/>
    <x v="3"/>
    <n v="12206.25"/>
    <n v="9765"/>
    <s v="032"/>
  </r>
  <r>
    <x v="0"/>
    <x v="1"/>
    <x v="2"/>
    <x v="3"/>
    <x v="3"/>
    <n v="9268.75"/>
    <n v="7415"/>
    <s v="033"/>
  </r>
  <r>
    <x v="0"/>
    <x v="1"/>
    <x v="1"/>
    <x v="3"/>
    <x v="3"/>
    <n v="12206.25"/>
    <n v="9765"/>
    <s v="034"/>
  </r>
  <r>
    <x v="0"/>
    <x v="1"/>
    <x v="0"/>
    <x v="4"/>
    <x v="1"/>
    <n v="11190"/>
    <n v="8952"/>
    <s v="035"/>
  </r>
  <r>
    <x v="0"/>
    <x v="1"/>
    <x v="3"/>
    <x v="4"/>
    <x v="1"/>
    <n v="6233.75"/>
    <n v="4987"/>
    <s v="036"/>
  </r>
  <r>
    <x v="0"/>
    <x v="1"/>
    <x v="0"/>
    <x v="4"/>
    <x v="1"/>
    <n v="11190"/>
    <n v="8952"/>
    <s v="037"/>
  </r>
  <r>
    <x v="0"/>
    <x v="1"/>
    <x v="3"/>
    <x v="4"/>
    <x v="1"/>
    <n v="6233.75"/>
    <n v="4987"/>
    <s v="038"/>
  </r>
  <r>
    <x v="0"/>
    <x v="2"/>
    <x v="2"/>
    <x v="0"/>
    <x v="0"/>
    <n v="12182.5"/>
    <n v="9746"/>
    <s v="039"/>
  </r>
  <r>
    <x v="0"/>
    <x v="2"/>
    <x v="0"/>
    <x v="0"/>
    <x v="0"/>
    <n v="722.5"/>
    <n v="578"/>
    <s v="040"/>
  </r>
  <r>
    <x v="0"/>
    <x v="2"/>
    <x v="2"/>
    <x v="0"/>
    <x v="0"/>
    <n v="12182.5"/>
    <n v="9746"/>
    <s v="041"/>
  </r>
  <r>
    <x v="0"/>
    <x v="2"/>
    <x v="0"/>
    <x v="0"/>
    <x v="0"/>
    <n v="722.5"/>
    <n v="578"/>
    <s v="042"/>
  </r>
  <r>
    <x v="0"/>
    <x v="2"/>
    <x v="2"/>
    <x v="1"/>
    <x v="1"/>
    <n v="12182.5"/>
    <n v="9746"/>
    <s v="043"/>
  </r>
  <r>
    <x v="0"/>
    <x v="2"/>
    <x v="0"/>
    <x v="1"/>
    <x v="1"/>
    <n v="4483.75"/>
    <n v="3587"/>
    <s v="044"/>
  </r>
  <r>
    <x v="0"/>
    <x v="2"/>
    <x v="2"/>
    <x v="1"/>
    <x v="1"/>
    <n v="12182.5"/>
    <n v="9746"/>
    <s v="045"/>
  </r>
  <r>
    <x v="0"/>
    <x v="2"/>
    <x v="0"/>
    <x v="1"/>
    <x v="1"/>
    <n v="4483.75"/>
    <n v="3587"/>
    <s v="046"/>
  </r>
  <r>
    <x v="0"/>
    <x v="2"/>
    <x v="2"/>
    <x v="2"/>
    <x v="2"/>
    <n v="2956.25"/>
    <n v="2365"/>
    <s v="047"/>
  </r>
  <r>
    <x v="0"/>
    <x v="2"/>
    <x v="1"/>
    <x v="2"/>
    <x v="2"/>
    <n v="12163.75"/>
    <n v="9731"/>
    <s v="048"/>
  </r>
  <r>
    <x v="0"/>
    <x v="2"/>
    <x v="2"/>
    <x v="2"/>
    <x v="2"/>
    <n v="2956.25"/>
    <n v="2365"/>
    <s v="049"/>
  </r>
  <r>
    <x v="0"/>
    <x v="2"/>
    <x v="1"/>
    <x v="2"/>
    <x v="2"/>
    <n v="12163.75"/>
    <n v="9731"/>
    <s v="050"/>
  </r>
  <r>
    <x v="0"/>
    <x v="2"/>
    <x v="1"/>
    <x v="3"/>
    <x v="3"/>
    <n v="1248.75"/>
    <n v="999"/>
    <s v="051"/>
  </r>
  <r>
    <x v="0"/>
    <x v="2"/>
    <x v="2"/>
    <x v="3"/>
    <x v="3"/>
    <n v="196.25"/>
    <n v="157"/>
    <s v="052"/>
  </r>
  <r>
    <x v="0"/>
    <x v="2"/>
    <x v="1"/>
    <x v="3"/>
    <x v="3"/>
    <n v="1248.75"/>
    <n v="999"/>
    <s v="053"/>
  </r>
  <r>
    <x v="0"/>
    <x v="2"/>
    <x v="2"/>
    <x v="3"/>
    <x v="3"/>
    <n v="196.25"/>
    <n v="157"/>
    <s v="054"/>
  </r>
  <r>
    <x v="0"/>
    <x v="2"/>
    <x v="0"/>
    <x v="4"/>
    <x v="1"/>
    <n v="4483.75"/>
    <n v="3587"/>
    <s v="055"/>
  </r>
  <r>
    <x v="0"/>
    <x v="2"/>
    <x v="3"/>
    <x v="4"/>
    <x v="1"/>
    <n v="12038.75"/>
    <n v="9631"/>
    <s v="056"/>
  </r>
  <r>
    <x v="0"/>
    <x v="2"/>
    <x v="0"/>
    <x v="4"/>
    <x v="1"/>
    <n v="4483.75"/>
    <n v="3587"/>
    <s v="057"/>
  </r>
  <r>
    <x v="0"/>
    <x v="2"/>
    <x v="3"/>
    <x v="4"/>
    <x v="1"/>
    <n v="12038.75"/>
    <n v="9631"/>
    <s v="058"/>
  </r>
  <r>
    <x v="0"/>
    <x v="3"/>
    <x v="3"/>
    <x v="0"/>
    <x v="0"/>
    <n v="1972.5"/>
    <n v="1578"/>
    <s v="059"/>
  </r>
  <r>
    <x v="0"/>
    <x v="3"/>
    <x v="2"/>
    <x v="0"/>
    <x v="0"/>
    <n v="5733.75"/>
    <n v="4587"/>
    <s v="060"/>
  </r>
  <r>
    <x v="0"/>
    <x v="3"/>
    <x v="3"/>
    <x v="0"/>
    <x v="0"/>
    <n v="1972.5"/>
    <n v="1578"/>
    <s v="061"/>
  </r>
  <r>
    <x v="0"/>
    <x v="3"/>
    <x v="2"/>
    <x v="0"/>
    <x v="0"/>
    <n v="5733.75"/>
    <n v="4587"/>
    <s v="062"/>
  </r>
  <r>
    <x v="0"/>
    <x v="3"/>
    <x v="0"/>
    <x v="1"/>
    <x v="1"/>
    <n v="9865"/>
    <n v="7892"/>
    <s v="063"/>
  </r>
  <r>
    <x v="0"/>
    <x v="3"/>
    <x v="3"/>
    <x v="1"/>
    <x v="1"/>
    <n v="1972.5"/>
    <n v="1578"/>
    <s v="064"/>
  </r>
  <r>
    <x v="0"/>
    <x v="3"/>
    <x v="0"/>
    <x v="1"/>
    <x v="1"/>
    <n v="5858.75"/>
    <n v="4687"/>
    <s v="065"/>
  </r>
  <r>
    <x v="0"/>
    <x v="3"/>
    <x v="1"/>
    <x v="1"/>
    <x v="1"/>
    <n v="1705"/>
    <n v="1364"/>
    <s v="066"/>
  </r>
  <r>
    <x v="0"/>
    <x v="3"/>
    <x v="0"/>
    <x v="1"/>
    <x v="1"/>
    <n v="9865"/>
    <n v="7892"/>
    <s v="067"/>
  </r>
  <r>
    <x v="0"/>
    <x v="3"/>
    <x v="3"/>
    <x v="1"/>
    <x v="1"/>
    <n v="1972.5"/>
    <n v="1578"/>
    <s v="068"/>
  </r>
  <r>
    <x v="0"/>
    <x v="3"/>
    <x v="0"/>
    <x v="1"/>
    <x v="1"/>
    <n v="5858.75"/>
    <n v="4687"/>
    <s v="069"/>
  </r>
  <r>
    <x v="0"/>
    <x v="3"/>
    <x v="1"/>
    <x v="1"/>
    <x v="1"/>
    <n v="1705"/>
    <n v="1364"/>
    <s v="070"/>
  </r>
  <r>
    <x v="0"/>
    <x v="3"/>
    <x v="2"/>
    <x v="2"/>
    <x v="2"/>
    <n v="7327.5"/>
    <n v="5862"/>
    <s v="071"/>
  </r>
  <r>
    <x v="0"/>
    <x v="3"/>
    <x v="2"/>
    <x v="2"/>
    <x v="2"/>
    <n v="9268.75"/>
    <n v="7415"/>
    <s v="072"/>
  </r>
  <r>
    <x v="0"/>
    <x v="3"/>
    <x v="0"/>
    <x v="2"/>
    <x v="2"/>
    <n v="11190"/>
    <n v="8952"/>
    <s v="073"/>
  </r>
  <r>
    <x v="0"/>
    <x v="3"/>
    <x v="2"/>
    <x v="2"/>
    <x v="2"/>
    <n v="12182.5"/>
    <n v="9746"/>
    <s v="074"/>
  </r>
  <r>
    <x v="0"/>
    <x v="3"/>
    <x v="3"/>
    <x v="2"/>
    <x v="2"/>
    <n v="1972.5"/>
    <n v="1578"/>
    <s v="075"/>
  </r>
  <r>
    <x v="0"/>
    <x v="3"/>
    <x v="2"/>
    <x v="2"/>
    <x v="2"/>
    <n v="7327.5"/>
    <n v="5862"/>
    <s v="076"/>
  </r>
  <r>
    <x v="0"/>
    <x v="3"/>
    <x v="2"/>
    <x v="2"/>
    <x v="2"/>
    <n v="9268.75"/>
    <n v="7415"/>
    <s v="077"/>
  </r>
  <r>
    <x v="0"/>
    <x v="3"/>
    <x v="0"/>
    <x v="2"/>
    <x v="2"/>
    <n v="11190"/>
    <n v="8952"/>
    <s v="078"/>
  </r>
  <r>
    <x v="0"/>
    <x v="3"/>
    <x v="2"/>
    <x v="2"/>
    <x v="2"/>
    <n v="12182.5"/>
    <n v="9746"/>
    <s v="079"/>
  </r>
  <r>
    <x v="0"/>
    <x v="3"/>
    <x v="3"/>
    <x v="2"/>
    <x v="2"/>
    <n v="1972.5"/>
    <n v="1578"/>
    <s v="080"/>
  </r>
  <r>
    <x v="0"/>
    <x v="3"/>
    <x v="0"/>
    <x v="3"/>
    <x v="3"/>
    <n v="9865"/>
    <n v="7892"/>
    <s v="081"/>
  </r>
  <r>
    <x v="0"/>
    <x v="3"/>
    <x v="0"/>
    <x v="3"/>
    <x v="3"/>
    <n v="9982.5"/>
    <n v="7986"/>
    <s v="082"/>
  </r>
  <r>
    <x v="0"/>
    <x v="3"/>
    <x v="0"/>
    <x v="3"/>
    <x v="3"/>
    <n v="9865"/>
    <n v="7892"/>
    <s v="083"/>
  </r>
  <r>
    <x v="0"/>
    <x v="3"/>
    <x v="0"/>
    <x v="3"/>
    <x v="3"/>
    <n v="9982.5"/>
    <n v="7986"/>
    <s v="084"/>
  </r>
  <r>
    <x v="0"/>
    <x v="3"/>
    <x v="0"/>
    <x v="4"/>
    <x v="1"/>
    <n v="5858.75"/>
    <n v="4687"/>
    <s v="085"/>
  </r>
  <r>
    <x v="0"/>
    <x v="3"/>
    <x v="1"/>
    <x v="4"/>
    <x v="1"/>
    <n v="1705"/>
    <n v="1364"/>
    <s v="086"/>
  </r>
  <r>
    <x v="0"/>
    <x v="3"/>
    <x v="0"/>
    <x v="4"/>
    <x v="1"/>
    <n v="5858.75"/>
    <n v="4687"/>
    <s v="087"/>
  </r>
  <r>
    <x v="0"/>
    <x v="3"/>
    <x v="1"/>
    <x v="4"/>
    <x v="1"/>
    <n v="1705"/>
    <n v="1364"/>
    <s v="088"/>
  </r>
  <r>
    <x v="0"/>
    <x v="4"/>
    <x v="1"/>
    <x v="0"/>
    <x v="0"/>
    <n v="622.5"/>
    <n v="498"/>
    <s v="089"/>
  </r>
  <r>
    <x v="0"/>
    <x v="4"/>
    <x v="3"/>
    <x v="0"/>
    <x v="0"/>
    <n v="6118.75"/>
    <n v="4895"/>
    <s v="090"/>
  </r>
  <r>
    <x v="0"/>
    <x v="4"/>
    <x v="1"/>
    <x v="0"/>
    <x v="0"/>
    <n v="622.5"/>
    <n v="498"/>
    <s v="091"/>
  </r>
  <r>
    <x v="0"/>
    <x v="4"/>
    <x v="3"/>
    <x v="0"/>
    <x v="0"/>
    <n v="6118.75"/>
    <n v="4895"/>
    <s v="092"/>
  </r>
  <r>
    <x v="0"/>
    <x v="4"/>
    <x v="3"/>
    <x v="1"/>
    <x v="1"/>
    <n v="6120"/>
    <n v="4896"/>
    <s v="093"/>
  </r>
  <r>
    <x v="0"/>
    <x v="4"/>
    <x v="0"/>
    <x v="1"/>
    <x v="1"/>
    <n v="5733.75"/>
    <n v="4587"/>
    <s v="094"/>
  </r>
  <r>
    <x v="0"/>
    <x v="4"/>
    <x v="3"/>
    <x v="1"/>
    <x v="1"/>
    <n v="6120"/>
    <n v="4896"/>
    <s v="095"/>
  </r>
  <r>
    <x v="0"/>
    <x v="4"/>
    <x v="0"/>
    <x v="1"/>
    <x v="1"/>
    <n v="5733.75"/>
    <n v="4587"/>
    <s v="096"/>
  </r>
  <r>
    <x v="0"/>
    <x v="4"/>
    <x v="0"/>
    <x v="2"/>
    <x v="2"/>
    <n v="4483.75"/>
    <n v="3587"/>
    <s v="097"/>
  </r>
  <r>
    <x v="0"/>
    <x v="4"/>
    <x v="0"/>
    <x v="2"/>
    <x v="2"/>
    <n v="9865"/>
    <n v="7892"/>
    <s v="098"/>
  </r>
  <r>
    <x v="0"/>
    <x v="4"/>
    <x v="0"/>
    <x v="2"/>
    <x v="2"/>
    <n v="4483.75"/>
    <n v="3587"/>
    <s v="099"/>
  </r>
  <r>
    <x v="0"/>
    <x v="4"/>
    <x v="0"/>
    <x v="2"/>
    <x v="2"/>
    <n v="9865"/>
    <n v="7892"/>
    <s v="100"/>
  </r>
  <r>
    <x v="0"/>
    <x v="4"/>
    <x v="3"/>
    <x v="3"/>
    <x v="3"/>
    <n v="6120"/>
    <n v="4896"/>
    <s v="101"/>
  </r>
  <r>
    <x v="0"/>
    <x v="4"/>
    <x v="0"/>
    <x v="3"/>
    <x v="3"/>
    <n v="5733.75"/>
    <n v="4587"/>
    <s v="102"/>
  </r>
  <r>
    <x v="0"/>
    <x v="4"/>
    <x v="0"/>
    <x v="3"/>
    <x v="3"/>
    <n v="6098.75"/>
    <n v="4879"/>
    <s v="103"/>
  </r>
  <r>
    <x v="0"/>
    <x v="4"/>
    <x v="3"/>
    <x v="3"/>
    <x v="3"/>
    <n v="6120"/>
    <n v="4896"/>
    <s v="104"/>
  </r>
  <r>
    <x v="0"/>
    <x v="4"/>
    <x v="0"/>
    <x v="3"/>
    <x v="3"/>
    <n v="5733.75"/>
    <n v="4587"/>
    <s v="105"/>
  </r>
  <r>
    <x v="0"/>
    <x v="4"/>
    <x v="0"/>
    <x v="3"/>
    <x v="3"/>
    <n v="6098.75"/>
    <n v="4879"/>
    <s v="106"/>
  </r>
  <r>
    <x v="0"/>
    <x v="4"/>
    <x v="2"/>
    <x v="4"/>
    <x v="1"/>
    <n v="5733.75"/>
    <n v="4587"/>
    <s v="107"/>
  </r>
  <r>
    <x v="0"/>
    <x v="4"/>
    <x v="0"/>
    <x v="4"/>
    <x v="1"/>
    <n v="7905"/>
    <n v="6324"/>
    <s v="108"/>
  </r>
  <r>
    <x v="0"/>
    <x v="4"/>
    <x v="2"/>
    <x v="4"/>
    <x v="1"/>
    <n v="5733.75"/>
    <n v="4587"/>
    <s v="109"/>
  </r>
  <r>
    <x v="0"/>
    <x v="4"/>
    <x v="0"/>
    <x v="4"/>
    <x v="1"/>
    <n v="7905"/>
    <n v="6324"/>
    <s v="110"/>
  </r>
  <r>
    <x v="0"/>
    <x v="5"/>
    <x v="0"/>
    <x v="0"/>
    <x v="0"/>
    <n v="7028.75"/>
    <n v="5623"/>
    <s v="111"/>
  </r>
  <r>
    <x v="0"/>
    <x v="5"/>
    <x v="0"/>
    <x v="0"/>
    <x v="0"/>
    <n v="9160"/>
    <n v="7328"/>
    <s v="112"/>
  </r>
  <r>
    <x v="0"/>
    <x v="5"/>
    <x v="0"/>
    <x v="0"/>
    <x v="0"/>
    <n v="7028.75"/>
    <n v="5623"/>
    <s v="113"/>
  </r>
  <r>
    <x v="0"/>
    <x v="5"/>
    <x v="0"/>
    <x v="0"/>
    <x v="0"/>
    <n v="9160"/>
    <n v="7328"/>
    <s v="114"/>
  </r>
  <r>
    <x v="0"/>
    <x v="5"/>
    <x v="0"/>
    <x v="1"/>
    <x v="1"/>
    <n v="7028.75"/>
    <n v="5623"/>
    <s v="115"/>
  </r>
  <r>
    <x v="0"/>
    <x v="5"/>
    <x v="1"/>
    <x v="1"/>
    <x v="1"/>
    <n v="3247.5"/>
    <n v="2598"/>
    <s v="116"/>
  </r>
  <r>
    <x v="0"/>
    <x v="5"/>
    <x v="0"/>
    <x v="1"/>
    <x v="1"/>
    <n v="7028.75"/>
    <n v="5623"/>
    <s v="117"/>
  </r>
  <r>
    <x v="0"/>
    <x v="5"/>
    <x v="1"/>
    <x v="1"/>
    <x v="1"/>
    <n v="3247.5"/>
    <n v="2598"/>
    <s v="118"/>
  </r>
  <r>
    <x v="0"/>
    <x v="5"/>
    <x v="1"/>
    <x v="2"/>
    <x v="2"/>
    <n v="622.5"/>
    <n v="498"/>
    <s v="119"/>
  </r>
  <r>
    <x v="0"/>
    <x v="5"/>
    <x v="2"/>
    <x v="2"/>
    <x v="2"/>
    <n v="5733.75"/>
    <n v="4587"/>
    <s v="120"/>
  </r>
  <r>
    <x v="0"/>
    <x v="5"/>
    <x v="1"/>
    <x v="2"/>
    <x v="2"/>
    <n v="622.5"/>
    <n v="498"/>
    <s v="121"/>
  </r>
  <r>
    <x v="0"/>
    <x v="5"/>
    <x v="2"/>
    <x v="2"/>
    <x v="2"/>
    <n v="5733.75"/>
    <n v="4587"/>
    <s v="122"/>
  </r>
  <r>
    <x v="0"/>
    <x v="5"/>
    <x v="1"/>
    <x v="3"/>
    <x v="3"/>
    <n v="3247.5"/>
    <n v="2598"/>
    <s v="123"/>
  </r>
  <r>
    <x v="0"/>
    <x v="5"/>
    <x v="3"/>
    <x v="3"/>
    <x v="3"/>
    <n v="2570"/>
    <n v="2056"/>
    <s v="124"/>
  </r>
  <r>
    <x v="0"/>
    <x v="5"/>
    <x v="1"/>
    <x v="3"/>
    <x v="3"/>
    <n v="3247.5"/>
    <n v="2598"/>
    <s v="125"/>
  </r>
  <r>
    <x v="0"/>
    <x v="5"/>
    <x v="3"/>
    <x v="3"/>
    <x v="3"/>
    <n v="2570"/>
    <n v="2056"/>
    <s v="126"/>
  </r>
  <r>
    <x v="0"/>
    <x v="5"/>
    <x v="2"/>
    <x v="4"/>
    <x v="1"/>
    <n v="10308.75"/>
    <n v="8247"/>
    <s v="127"/>
  </r>
  <r>
    <x v="0"/>
    <x v="5"/>
    <x v="0"/>
    <x v="4"/>
    <x v="1"/>
    <n v="11026.25"/>
    <n v="8821"/>
    <s v="128"/>
  </r>
  <r>
    <x v="0"/>
    <x v="5"/>
    <x v="2"/>
    <x v="4"/>
    <x v="1"/>
    <n v="10308.75"/>
    <n v="8247"/>
    <s v="129"/>
  </r>
  <r>
    <x v="0"/>
    <x v="5"/>
    <x v="0"/>
    <x v="4"/>
    <x v="1"/>
    <n v="11026.25"/>
    <n v="8821"/>
    <s v="130"/>
  </r>
  <r>
    <x v="0"/>
    <x v="6"/>
    <x v="1"/>
    <x v="0"/>
    <x v="0"/>
    <n v="7360"/>
    <n v="5888"/>
    <s v="131"/>
  </r>
  <r>
    <x v="0"/>
    <x v="6"/>
    <x v="0"/>
    <x v="0"/>
    <x v="0"/>
    <n v="11177.5"/>
    <n v="8942"/>
    <s v="132"/>
  </r>
  <r>
    <x v="0"/>
    <x v="6"/>
    <x v="3"/>
    <x v="0"/>
    <x v="0"/>
    <n v="3355"/>
    <n v="2684"/>
    <s v="133"/>
  </r>
  <r>
    <x v="0"/>
    <x v="6"/>
    <x v="1"/>
    <x v="0"/>
    <x v="0"/>
    <n v="7360"/>
    <n v="5888"/>
    <s v="134"/>
  </r>
  <r>
    <x v="0"/>
    <x v="6"/>
    <x v="0"/>
    <x v="0"/>
    <x v="0"/>
    <n v="11177.5"/>
    <n v="8942"/>
    <s v="135"/>
  </r>
  <r>
    <x v="0"/>
    <x v="6"/>
    <x v="3"/>
    <x v="0"/>
    <x v="0"/>
    <n v="3355"/>
    <n v="2684"/>
    <s v="136"/>
  </r>
  <r>
    <x v="0"/>
    <x v="6"/>
    <x v="1"/>
    <x v="1"/>
    <x v="1"/>
    <n v="7360"/>
    <n v="5888"/>
    <s v="137"/>
  </r>
  <r>
    <x v="0"/>
    <x v="6"/>
    <x v="2"/>
    <x v="1"/>
    <x v="1"/>
    <n v="2956.25"/>
    <n v="2365"/>
    <s v="138"/>
  </r>
  <r>
    <x v="0"/>
    <x v="6"/>
    <x v="1"/>
    <x v="1"/>
    <x v="1"/>
    <n v="7360"/>
    <n v="5888"/>
    <s v="139"/>
  </r>
  <r>
    <x v="0"/>
    <x v="6"/>
    <x v="2"/>
    <x v="1"/>
    <x v="1"/>
    <n v="2956.25"/>
    <n v="2365"/>
    <s v="140"/>
  </r>
  <r>
    <x v="0"/>
    <x v="6"/>
    <x v="0"/>
    <x v="2"/>
    <x v="2"/>
    <n v="7905"/>
    <n v="6324"/>
    <s v="141"/>
  </r>
  <r>
    <x v="0"/>
    <x v="6"/>
    <x v="3"/>
    <x v="2"/>
    <x v="2"/>
    <n v="6118.75"/>
    <n v="4895"/>
    <s v="142"/>
  </r>
  <r>
    <x v="0"/>
    <x v="6"/>
    <x v="0"/>
    <x v="2"/>
    <x v="2"/>
    <n v="7905"/>
    <n v="6324"/>
    <s v="143"/>
  </r>
  <r>
    <x v="0"/>
    <x v="6"/>
    <x v="3"/>
    <x v="2"/>
    <x v="2"/>
    <n v="6118.75"/>
    <n v="4895"/>
    <s v="144"/>
  </r>
  <r>
    <x v="0"/>
    <x v="6"/>
    <x v="2"/>
    <x v="3"/>
    <x v="3"/>
    <n v="2956.25"/>
    <n v="2365"/>
    <s v="145"/>
  </r>
  <r>
    <x v="0"/>
    <x v="6"/>
    <x v="0"/>
    <x v="3"/>
    <x v="3"/>
    <n v="2698.75"/>
    <n v="2159"/>
    <s v="146"/>
  </r>
  <r>
    <x v="0"/>
    <x v="6"/>
    <x v="2"/>
    <x v="3"/>
    <x v="3"/>
    <n v="2956.25"/>
    <n v="2365"/>
    <s v="147"/>
  </r>
  <r>
    <x v="0"/>
    <x v="6"/>
    <x v="0"/>
    <x v="3"/>
    <x v="3"/>
    <n v="2698.75"/>
    <n v="2159"/>
    <s v="148"/>
  </r>
  <r>
    <x v="1"/>
    <x v="0"/>
    <x v="0"/>
    <x v="0"/>
    <x v="0"/>
    <n v="2395.5"/>
    <n v="1597"/>
    <s v="149"/>
  </r>
  <r>
    <x v="1"/>
    <x v="0"/>
    <x v="0"/>
    <x v="0"/>
    <x v="0"/>
    <n v="11761.5"/>
    <n v="7841"/>
    <s v="150"/>
  </r>
  <r>
    <x v="1"/>
    <x v="0"/>
    <x v="1"/>
    <x v="0"/>
    <x v="0"/>
    <n v="8943"/>
    <n v="5962"/>
    <s v="151"/>
  </r>
  <r>
    <x v="1"/>
    <x v="0"/>
    <x v="0"/>
    <x v="0"/>
    <x v="0"/>
    <n v="2395.5"/>
    <n v="1597"/>
    <s v="152"/>
  </r>
  <r>
    <x v="1"/>
    <x v="0"/>
    <x v="0"/>
    <x v="0"/>
    <x v="0"/>
    <n v="11761.5"/>
    <n v="7841"/>
    <s v="153"/>
  </r>
  <r>
    <x v="1"/>
    <x v="0"/>
    <x v="1"/>
    <x v="0"/>
    <x v="0"/>
    <n v="8943"/>
    <n v="5962"/>
    <s v="154"/>
  </r>
  <r>
    <x v="1"/>
    <x v="0"/>
    <x v="1"/>
    <x v="1"/>
    <x v="1"/>
    <n v="14596.5"/>
    <n v="9731"/>
    <s v="155"/>
  </r>
  <r>
    <x v="1"/>
    <x v="0"/>
    <x v="2"/>
    <x v="1"/>
    <x v="1"/>
    <n v="8793"/>
    <n v="5862"/>
    <s v="156"/>
  </r>
  <r>
    <x v="1"/>
    <x v="0"/>
    <x v="1"/>
    <x v="1"/>
    <x v="1"/>
    <n v="14596.5"/>
    <n v="9731"/>
    <s v="157"/>
  </r>
  <r>
    <x v="1"/>
    <x v="0"/>
    <x v="2"/>
    <x v="1"/>
    <x v="1"/>
    <n v="8793"/>
    <n v="5862"/>
    <s v="158"/>
  </r>
  <r>
    <x v="1"/>
    <x v="0"/>
    <x v="0"/>
    <x v="2"/>
    <x v="2"/>
    <n v="4666"/>
    <n v="5623"/>
    <s v="159"/>
  </r>
  <r>
    <x v="1"/>
    <x v="0"/>
    <x v="0"/>
    <x v="2"/>
    <x v="2"/>
    <n v="7318.5"/>
    <n v="4879"/>
    <s v="160"/>
  </r>
  <r>
    <x v="1"/>
    <x v="0"/>
    <x v="0"/>
    <x v="2"/>
    <x v="2"/>
    <n v="4666"/>
    <n v="5623"/>
    <s v="161"/>
  </r>
  <r>
    <x v="1"/>
    <x v="0"/>
    <x v="0"/>
    <x v="2"/>
    <x v="2"/>
    <n v="7318.5"/>
    <n v="4879"/>
    <s v="162"/>
  </r>
  <r>
    <x v="1"/>
    <x v="0"/>
    <x v="3"/>
    <x v="3"/>
    <x v="3"/>
    <n v="3553.5"/>
    <n v="2369"/>
    <s v="163"/>
  </r>
  <r>
    <x v="1"/>
    <x v="0"/>
    <x v="3"/>
    <x v="3"/>
    <x v="3"/>
    <n v="3553.5"/>
    <n v="2369"/>
    <s v="164"/>
  </r>
  <r>
    <x v="1"/>
    <x v="0"/>
    <x v="1"/>
    <x v="4"/>
    <x v="1"/>
    <n v="14596.5"/>
    <n v="9731"/>
    <s v="165"/>
  </r>
  <r>
    <x v="1"/>
    <x v="0"/>
    <x v="2"/>
    <x v="4"/>
    <x v="1"/>
    <n v="8793"/>
    <n v="5862"/>
    <s v="166"/>
  </r>
  <r>
    <x v="1"/>
    <x v="0"/>
    <x v="1"/>
    <x v="4"/>
    <x v="1"/>
    <n v="14596.5"/>
    <n v="9731"/>
    <s v="167"/>
  </r>
  <r>
    <x v="1"/>
    <x v="0"/>
    <x v="2"/>
    <x v="4"/>
    <x v="1"/>
    <n v="8793"/>
    <n v="5862"/>
    <s v="168"/>
  </r>
  <r>
    <x v="1"/>
    <x v="1"/>
    <x v="0"/>
    <x v="0"/>
    <x v="0"/>
    <n v="4887"/>
    <n v="3258"/>
    <s v="169"/>
  </r>
  <r>
    <x v="1"/>
    <x v="1"/>
    <x v="0"/>
    <x v="0"/>
    <x v="0"/>
    <n v="4887"/>
    <n v="3258"/>
    <s v="170"/>
  </r>
  <r>
    <x v="1"/>
    <x v="1"/>
    <x v="2"/>
    <x v="1"/>
    <x v="1"/>
    <n v="11122.5"/>
    <n v="7415"/>
    <s v="171"/>
  </r>
  <r>
    <x v="1"/>
    <x v="1"/>
    <x v="0"/>
    <x v="1"/>
    <x v="1"/>
    <n v="13428"/>
    <n v="8952"/>
    <s v="172"/>
  </r>
  <r>
    <x v="1"/>
    <x v="1"/>
    <x v="2"/>
    <x v="1"/>
    <x v="1"/>
    <n v="11122.5"/>
    <n v="7415"/>
    <s v="173"/>
  </r>
  <r>
    <x v="1"/>
    <x v="1"/>
    <x v="0"/>
    <x v="1"/>
    <x v="1"/>
    <n v="13428"/>
    <n v="8952"/>
    <s v="174"/>
  </r>
  <r>
    <x v="1"/>
    <x v="1"/>
    <x v="1"/>
    <x v="2"/>
    <x v="2"/>
    <n v="3897"/>
    <n v="2598"/>
    <s v="175"/>
  </r>
  <r>
    <x v="1"/>
    <x v="1"/>
    <x v="1"/>
    <x v="2"/>
    <x v="2"/>
    <n v="8832"/>
    <n v="5888"/>
    <s v="176"/>
  </r>
  <r>
    <x v="1"/>
    <x v="1"/>
    <x v="1"/>
    <x v="2"/>
    <x v="2"/>
    <n v="3897"/>
    <n v="2598"/>
    <s v="177"/>
  </r>
  <r>
    <x v="1"/>
    <x v="1"/>
    <x v="1"/>
    <x v="2"/>
    <x v="2"/>
    <n v="8832"/>
    <n v="5888"/>
    <s v="178"/>
  </r>
  <r>
    <x v="1"/>
    <x v="1"/>
    <x v="2"/>
    <x v="3"/>
    <x v="3"/>
    <n v="11122.5"/>
    <n v="7415"/>
    <s v="179"/>
  </r>
  <r>
    <x v="1"/>
    <x v="1"/>
    <x v="1"/>
    <x v="3"/>
    <x v="3"/>
    <n v="14647.5"/>
    <n v="9765"/>
    <s v="180"/>
  </r>
  <r>
    <x v="1"/>
    <x v="1"/>
    <x v="2"/>
    <x v="3"/>
    <x v="3"/>
    <n v="11122.5"/>
    <n v="7415"/>
    <s v="181"/>
  </r>
  <r>
    <x v="1"/>
    <x v="1"/>
    <x v="1"/>
    <x v="3"/>
    <x v="3"/>
    <n v="14647.5"/>
    <n v="9765"/>
    <s v="182"/>
  </r>
  <r>
    <x v="1"/>
    <x v="1"/>
    <x v="0"/>
    <x v="4"/>
    <x v="1"/>
    <n v="13428"/>
    <n v="8952"/>
    <s v="183"/>
  </r>
  <r>
    <x v="1"/>
    <x v="1"/>
    <x v="3"/>
    <x v="4"/>
    <x v="1"/>
    <n v="7480.5"/>
    <n v="4987"/>
    <s v="184"/>
  </r>
  <r>
    <x v="1"/>
    <x v="1"/>
    <x v="0"/>
    <x v="4"/>
    <x v="1"/>
    <n v="13428"/>
    <n v="8952"/>
    <s v="185"/>
  </r>
  <r>
    <x v="1"/>
    <x v="1"/>
    <x v="3"/>
    <x v="4"/>
    <x v="1"/>
    <n v="7480.5"/>
    <n v="4987"/>
    <s v="186"/>
  </r>
  <r>
    <x v="1"/>
    <x v="2"/>
    <x v="2"/>
    <x v="0"/>
    <x v="0"/>
    <n v="14619"/>
    <n v="9746"/>
    <s v="187"/>
  </r>
  <r>
    <x v="1"/>
    <x v="2"/>
    <x v="0"/>
    <x v="0"/>
    <x v="0"/>
    <n v="867"/>
    <n v="578"/>
    <s v="188"/>
  </r>
  <r>
    <x v="1"/>
    <x v="2"/>
    <x v="2"/>
    <x v="0"/>
    <x v="0"/>
    <n v="14619"/>
    <n v="9746"/>
    <s v="189"/>
  </r>
  <r>
    <x v="1"/>
    <x v="2"/>
    <x v="0"/>
    <x v="0"/>
    <x v="0"/>
    <n v="867"/>
    <n v="578"/>
    <s v="190"/>
  </r>
  <r>
    <x v="1"/>
    <x v="2"/>
    <x v="2"/>
    <x v="1"/>
    <x v="1"/>
    <n v="14619"/>
    <n v="9746"/>
    <s v="191"/>
  </r>
  <r>
    <x v="1"/>
    <x v="2"/>
    <x v="0"/>
    <x v="1"/>
    <x v="1"/>
    <n v="5380.5"/>
    <n v="3587"/>
    <s v="192"/>
  </r>
  <r>
    <x v="1"/>
    <x v="2"/>
    <x v="2"/>
    <x v="1"/>
    <x v="1"/>
    <n v="14619"/>
    <n v="9746"/>
    <s v="193"/>
  </r>
  <r>
    <x v="1"/>
    <x v="2"/>
    <x v="0"/>
    <x v="1"/>
    <x v="1"/>
    <n v="5380.5"/>
    <n v="3587"/>
    <s v="194"/>
  </r>
  <r>
    <x v="1"/>
    <x v="2"/>
    <x v="2"/>
    <x v="2"/>
    <x v="2"/>
    <n v="3547.5"/>
    <n v="2365"/>
    <s v="195"/>
  </r>
  <r>
    <x v="1"/>
    <x v="2"/>
    <x v="1"/>
    <x v="2"/>
    <x v="2"/>
    <n v="14596.5"/>
    <n v="9731"/>
    <s v="196"/>
  </r>
  <r>
    <x v="1"/>
    <x v="2"/>
    <x v="2"/>
    <x v="2"/>
    <x v="2"/>
    <n v="3547.5"/>
    <n v="2365"/>
    <s v="197"/>
  </r>
  <r>
    <x v="1"/>
    <x v="2"/>
    <x v="1"/>
    <x v="2"/>
    <x v="2"/>
    <n v="14596.5"/>
    <n v="9731"/>
    <s v="198"/>
  </r>
  <r>
    <x v="1"/>
    <x v="2"/>
    <x v="1"/>
    <x v="3"/>
    <x v="3"/>
    <n v="1498.5"/>
    <n v="999"/>
    <s v="199"/>
  </r>
  <r>
    <x v="1"/>
    <x v="2"/>
    <x v="2"/>
    <x v="3"/>
    <x v="3"/>
    <n v="235.5"/>
    <n v="157"/>
    <s v="200"/>
  </r>
  <r>
    <x v="1"/>
    <x v="2"/>
    <x v="1"/>
    <x v="3"/>
    <x v="3"/>
    <n v="1498.5"/>
    <n v="999"/>
    <s v="201"/>
  </r>
  <r>
    <x v="1"/>
    <x v="2"/>
    <x v="2"/>
    <x v="3"/>
    <x v="3"/>
    <n v="235.5"/>
    <n v="157"/>
    <s v="202"/>
  </r>
  <r>
    <x v="1"/>
    <x v="2"/>
    <x v="0"/>
    <x v="4"/>
    <x v="1"/>
    <n v="5380.5"/>
    <n v="3587"/>
    <s v="203"/>
  </r>
  <r>
    <x v="1"/>
    <x v="2"/>
    <x v="3"/>
    <x v="4"/>
    <x v="1"/>
    <n v="14446.5"/>
    <n v="9631"/>
    <s v="204"/>
  </r>
  <r>
    <x v="1"/>
    <x v="2"/>
    <x v="0"/>
    <x v="4"/>
    <x v="1"/>
    <n v="5380.5"/>
    <n v="3587"/>
    <s v="205"/>
  </r>
  <r>
    <x v="1"/>
    <x v="2"/>
    <x v="3"/>
    <x v="4"/>
    <x v="1"/>
    <n v="14446.5"/>
    <n v="9631"/>
    <s v="206"/>
  </r>
  <r>
    <x v="1"/>
    <x v="3"/>
    <x v="3"/>
    <x v="0"/>
    <x v="0"/>
    <n v="2367"/>
    <n v="1578"/>
    <s v="207"/>
  </r>
  <r>
    <x v="1"/>
    <x v="3"/>
    <x v="2"/>
    <x v="0"/>
    <x v="0"/>
    <n v="6880.5"/>
    <n v="4587"/>
    <s v="208"/>
  </r>
  <r>
    <x v="1"/>
    <x v="3"/>
    <x v="3"/>
    <x v="0"/>
    <x v="0"/>
    <n v="2367"/>
    <n v="1578"/>
    <s v="209"/>
  </r>
  <r>
    <x v="1"/>
    <x v="3"/>
    <x v="2"/>
    <x v="0"/>
    <x v="0"/>
    <n v="6880.5"/>
    <n v="4587"/>
    <s v="210"/>
  </r>
  <r>
    <x v="1"/>
    <x v="3"/>
    <x v="0"/>
    <x v="1"/>
    <x v="1"/>
    <n v="11838"/>
    <n v="7892"/>
    <s v="211"/>
  </r>
  <r>
    <x v="1"/>
    <x v="3"/>
    <x v="3"/>
    <x v="1"/>
    <x v="1"/>
    <n v="2367"/>
    <n v="1578"/>
    <s v="212"/>
  </r>
  <r>
    <x v="1"/>
    <x v="3"/>
    <x v="0"/>
    <x v="1"/>
    <x v="1"/>
    <n v="7030.5"/>
    <n v="4687"/>
    <s v="213"/>
  </r>
  <r>
    <x v="1"/>
    <x v="3"/>
    <x v="1"/>
    <x v="1"/>
    <x v="1"/>
    <n v="2046"/>
    <n v="1364"/>
    <s v="214"/>
  </r>
  <r>
    <x v="1"/>
    <x v="3"/>
    <x v="0"/>
    <x v="1"/>
    <x v="1"/>
    <n v="11838"/>
    <n v="7892"/>
    <s v="215"/>
  </r>
  <r>
    <x v="1"/>
    <x v="3"/>
    <x v="3"/>
    <x v="1"/>
    <x v="1"/>
    <n v="2367"/>
    <n v="1578"/>
    <s v="216"/>
  </r>
  <r>
    <x v="1"/>
    <x v="3"/>
    <x v="0"/>
    <x v="1"/>
    <x v="1"/>
    <n v="7030.5"/>
    <n v="4687"/>
    <s v="217"/>
  </r>
  <r>
    <x v="1"/>
    <x v="3"/>
    <x v="1"/>
    <x v="1"/>
    <x v="1"/>
    <n v="2046"/>
    <n v="1364"/>
    <s v="218"/>
  </r>
  <r>
    <x v="1"/>
    <x v="3"/>
    <x v="2"/>
    <x v="2"/>
    <x v="2"/>
    <n v="8793"/>
    <n v="5862"/>
    <s v="219"/>
  </r>
  <r>
    <x v="1"/>
    <x v="3"/>
    <x v="2"/>
    <x v="2"/>
    <x v="2"/>
    <n v="11122.5"/>
    <n v="7415"/>
    <s v="220"/>
  </r>
  <r>
    <x v="1"/>
    <x v="3"/>
    <x v="0"/>
    <x v="2"/>
    <x v="2"/>
    <n v="13428"/>
    <n v="8952"/>
    <s v="221"/>
  </r>
  <r>
    <x v="1"/>
    <x v="3"/>
    <x v="2"/>
    <x v="2"/>
    <x v="2"/>
    <n v="14619"/>
    <n v="9746"/>
    <s v="222"/>
  </r>
  <r>
    <x v="1"/>
    <x v="3"/>
    <x v="3"/>
    <x v="2"/>
    <x v="2"/>
    <n v="2367"/>
    <n v="1578"/>
    <s v="223"/>
  </r>
  <r>
    <x v="1"/>
    <x v="3"/>
    <x v="2"/>
    <x v="2"/>
    <x v="2"/>
    <n v="8793"/>
    <n v="5862"/>
    <s v="224"/>
  </r>
  <r>
    <x v="1"/>
    <x v="3"/>
    <x v="2"/>
    <x v="2"/>
    <x v="2"/>
    <n v="11122.5"/>
    <n v="7415"/>
    <s v="225"/>
  </r>
  <r>
    <x v="1"/>
    <x v="3"/>
    <x v="0"/>
    <x v="2"/>
    <x v="2"/>
    <n v="13428"/>
    <n v="8952"/>
    <s v="226"/>
  </r>
  <r>
    <x v="1"/>
    <x v="3"/>
    <x v="2"/>
    <x v="2"/>
    <x v="2"/>
    <n v="14619"/>
    <n v="9746"/>
    <s v="227"/>
  </r>
  <r>
    <x v="1"/>
    <x v="3"/>
    <x v="3"/>
    <x v="2"/>
    <x v="2"/>
    <n v="2367"/>
    <n v="1578"/>
    <s v="228"/>
  </r>
  <r>
    <x v="1"/>
    <x v="3"/>
    <x v="0"/>
    <x v="3"/>
    <x v="3"/>
    <n v="11838"/>
    <n v="7892"/>
    <s v="229"/>
  </r>
  <r>
    <x v="1"/>
    <x v="3"/>
    <x v="0"/>
    <x v="3"/>
    <x v="3"/>
    <n v="11979"/>
    <n v="7986"/>
    <s v="230"/>
  </r>
  <r>
    <x v="1"/>
    <x v="3"/>
    <x v="0"/>
    <x v="3"/>
    <x v="3"/>
    <n v="11838"/>
    <n v="7892"/>
    <s v="231"/>
  </r>
  <r>
    <x v="1"/>
    <x v="3"/>
    <x v="0"/>
    <x v="3"/>
    <x v="3"/>
    <n v="11979"/>
    <n v="7986"/>
    <s v="232"/>
  </r>
  <r>
    <x v="1"/>
    <x v="3"/>
    <x v="0"/>
    <x v="4"/>
    <x v="1"/>
    <n v="7030.5"/>
    <n v="4687"/>
    <s v="233"/>
  </r>
  <r>
    <x v="1"/>
    <x v="3"/>
    <x v="1"/>
    <x v="4"/>
    <x v="1"/>
    <n v="2046"/>
    <n v="1364"/>
    <s v="234"/>
  </r>
  <r>
    <x v="1"/>
    <x v="3"/>
    <x v="0"/>
    <x v="4"/>
    <x v="1"/>
    <n v="7030.5"/>
    <n v="4687"/>
    <s v="235"/>
  </r>
  <r>
    <x v="1"/>
    <x v="3"/>
    <x v="1"/>
    <x v="4"/>
    <x v="1"/>
    <n v="2046"/>
    <n v="1364"/>
    <s v="236"/>
  </r>
  <r>
    <x v="1"/>
    <x v="4"/>
    <x v="1"/>
    <x v="0"/>
    <x v="0"/>
    <n v="747"/>
    <n v="498"/>
    <s v="237"/>
  </r>
  <r>
    <x v="1"/>
    <x v="4"/>
    <x v="3"/>
    <x v="0"/>
    <x v="0"/>
    <n v="7342.5"/>
    <n v="4895"/>
    <s v="238"/>
  </r>
  <r>
    <x v="1"/>
    <x v="4"/>
    <x v="1"/>
    <x v="0"/>
    <x v="0"/>
    <n v="747"/>
    <n v="498"/>
    <s v="239"/>
  </r>
  <r>
    <x v="1"/>
    <x v="4"/>
    <x v="3"/>
    <x v="0"/>
    <x v="0"/>
    <n v="7342.5"/>
    <n v="4895"/>
    <s v="240"/>
  </r>
  <r>
    <x v="1"/>
    <x v="4"/>
    <x v="3"/>
    <x v="1"/>
    <x v="1"/>
    <n v="7344"/>
    <n v="4896"/>
    <s v="241"/>
  </r>
  <r>
    <x v="1"/>
    <x v="4"/>
    <x v="0"/>
    <x v="1"/>
    <x v="1"/>
    <n v="6880.5"/>
    <n v="4587"/>
    <s v="242"/>
  </r>
  <r>
    <x v="1"/>
    <x v="4"/>
    <x v="3"/>
    <x v="1"/>
    <x v="1"/>
    <n v="7344"/>
    <n v="4896"/>
    <s v="243"/>
  </r>
  <r>
    <x v="1"/>
    <x v="4"/>
    <x v="0"/>
    <x v="1"/>
    <x v="1"/>
    <n v="6880.5"/>
    <n v="4587"/>
    <s v="244"/>
  </r>
  <r>
    <x v="1"/>
    <x v="4"/>
    <x v="0"/>
    <x v="2"/>
    <x v="2"/>
    <n v="5380.5"/>
    <n v="3587"/>
    <s v="245"/>
  </r>
  <r>
    <x v="1"/>
    <x v="4"/>
    <x v="0"/>
    <x v="2"/>
    <x v="2"/>
    <n v="11838"/>
    <n v="7892"/>
    <s v="246"/>
  </r>
  <r>
    <x v="1"/>
    <x v="4"/>
    <x v="0"/>
    <x v="2"/>
    <x v="2"/>
    <n v="5380.5"/>
    <n v="3587"/>
    <s v="247"/>
  </r>
  <r>
    <x v="1"/>
    <x v="4"/>
    <x v="0"/>
    <x v="2"/>
    <x v="2"/>
    <n v="11838"/>
    <n v="7892"/>
    <s v="248"/>
  </r>
  <r>
    <x v="1"/>
    <x v="4"/>
    <x v="3"/>
    <x v="3"/>
    <x v="3"/>
    <n v="7344"/>
    <n v="4896"/>
    <s v="249"/>
  </r>
  <r>
    <x v="1"/>
    <x v="4"/>
    <x v="0"/>
    <x v="3"/>
    <x v="3"/>
    <n v="6880.5"/>
    <n v="4587"/>
    <s v="250"/>
  </r>
  <r>
    <x v="1"/>
    <x v="4"/>
    <x v="0"/>
    <x v="3"/>
    <x v="3"/>
    <n v="7318.5"/>
    <n v="4879"/>
    <s v="251"/>
  </r>
  <r>
    <x v="1"/>
    <x v="4"/>
    <x v="3"/>
    <x v="3"/>
    <x v="3"/>
    <n v="7344"/>
    <n v="4896"/>
    <s v="252"/>
  </r>
  <r>
    <x v="1"/>
    <x v="4"/>
    <x v="0"/>
    <x v="3"/>
    <x v="3"/>
    <n v="6880.5"/>
    <n v="4587"/>
    <s v="253"/>
  </r>
  <r>
    <x v="1"/>
    <x v="4"/>
    <x v="0"/>
    <x v="3"/>
    <x v="3"/>
    <n v="7318.5"/>
    <n v="4879"/>
    <s v="254"/>
  </r>
  <r>
    <x v="1"/>
    <x v="4"/>
    <x v="2"/>
    <x v="4"/>
    <x v="1"/>
    <n v="6880.5"/>
    <n v="4587"/>
    <s v="255"/>
  </r>
  <r>
    <x v="1"/>
    <x v="4"/>
    <x v="0"/>
    <x v="4"/>
    <x v="1"/>
    <n v="9486"/>
    <n v="6324"/>
    <s v="256"/>
  </r>
  <r>
    <x v="1"/>
    <x v="4"/>
    <x v="2"/>
    <x v="4"/>
    <x v="1"/>
    <n v="6880.5"/>
    <n v="4587"/>
    <s v="257"/>
  </r>
  <r>
    <x v="1"/>
    <x v="4"/>
    <x v="0"/>
    <x v="4"/>
    <x v="1"/>
    <n v="9486"/>
    <n v="6324"/>
    <s v="258"/>
  </r>
  <r>
    <x v="1"/>
    <x v="5"/>
    <x v="0"/>
    <x v="0"/>
    <x v="0"/>
    <n v="4666"/>
    <n v="5623"/>
    <s v="259"/>
  </r>
  <r>
    <x v="1"/>
    <x v="5"/>
    <x v="0"/>
    <x v="0"/>
    <x v="0"/>
    <n v="10992"/>
    <n v="7328"/>
    <s v="260"/>
  </r>
  <r>
    <x v="1"/>
    <x v="5"/>
    <x v="0"/>
    <x v="0"/>
    <x v="0"/>
    <n v="4666"/>
    <n v="5623"/>
    <s v="261"/>
  </r>
  <r>
    <x v="1"/>
    <x v="5"/>
    <x v="0"/>
    <x v="0"/>
    <x v="0"/>
    <n v="10992"/>
    <n v="7328"/>
    <s v="262"/>
  </r>
  <r>
    <x v="1"/>
    <x v="5"/>
    <x v="0"/>
    <x v="1"/>
    <x v="1"/>
    <n v="4666"/>
    <n v="5623"/>
    <s v="263"/>
  </r>
  <r>
    <x v="1"/>
    <x v="5"/>
    <x v="1"/>
    <x v="1"/>
    <x v="1"/>
    <n v="3897"/>
    <n v="2598"/>
    <s v="264"/>
  </r>
  <r>
    <x v="1"/>
    <x v="5"/>
    <x v="0"/>
    <x v="1"/>
    <x v="1"/>
    <n v="4666"/>
    <n v="5623"/>
    <s v="265"/>
  </r>
  <r>
    <x v="1"/>
    <x v="5"/>
    <x v="1"/>
    <x v="1"/>
    <x v="1"/>
    <n v="3897"/>
    <n v="2598"/>
    <s v="266"/>
  </r>
  <r>
    <x v="1"/>
    <x v="5"/>
    <x v="1"/>
    <x v="2"/>
    <x v="2"/>
    <n v="747"/>
    <n v="498"/>
    <s v="267"/>
  </r>
  <r>
    <x v="1"/>
    <x v="5"/>
    <x v="2"/>
    <x v="2"/>
    <x v="2"/>
    <n v="6880.5"/>
    <n v="4587"/>
    <s v="268"/>
  </r>
  <r>
    <x v="1"/>
    <x v="5"/>
    <x v="1"/>
    <x v="2"/>
    <x v="2"/>
    <n v="747"/>
    <n v="498"/>
    <s v="269"/>
  </r>
  <r>
    <x v="1"/>
    <x v="5"/>
    <x v="2"/>
    <x v="2"/>
    <x v="2"/>
    <n v="6880.5"/>
    <n v="4587"/>
    <s v="270"/>
  </r>
  <r>
    <x v="1"/>
    <x v="5"/>
    <x v="1"/>
    <x v="3"/>
    <x v="3"/>
    <n v="3897"/>
    <n v="2598"/>
    <s v="271"/>
  </r>
  <r>
    <x v="1"/>
    <x v="5"/>
    <x v="3"/>
    <x v="3"/>
    <x v="3"/>
    <n v="3084"/>
    <n v="2056"/>
    <s v="272"/>
  </r>
  <r>
    <x v="1"/>
    <x v="5"/>
    <x v="1"/>
    <x v="3"/>
    <x v="3"/>
    <n v="3897"/>
    <n v="2598"/>
    <s v="273"/>
  </r>
  <r>
    <x v="1"/>
    <x v="5"/>
    <x v="3"/>
    <x v="3"/>
    <x v="3"/>
    <n v="3084"/>
    <n v="2056"/>
    <s v="274"/>
  </r>
  <r>
    <x v="1"/>
    <x v="5"/>
    <x v="2"/>
    <x v="4"/>
    <x v="1"/>
    <n v="12370.5"/>
    <n v="8247"/>
    <s v="275"/>
  </r>
  <r>
    <x v="1"/>
    <x v="5"/>
    <x v="0"/>
    <x v="4"/>
    <x v="1"/>
    <n v="13231.5"/>
    <n v="8821"/>
    <s v="276"/>
  </r>
  <r>
    <x v="1"/>
    <x v="5"/>
    <x v="2"/>
    <x v="4"/>
    <x v="1"/>
    <n v="12370.5"/>
    <n v="8247"/>
    <s v="277"/>
  </r>
  <r>
    <x v="1"/>
    <x v="5"/>
    <x v="0"/>
    <x v="4"/>
    <x v="1"/>
    <n v="13231.5"/>
    <n v="8821"/>
    <s v="278"/>
  </r>
  <r>
    <x v="1"/>
    <x v="6"/>
    <x v="1"/>
    <x v="0"/>
    <x v="0"/>
    <n v="8832"/>
    <n v="5888"/>
    <s v="279"/>
  </r>
  <r>
    <x v="1"/>
    <x v="6"/>
    <x v="0"/>
    <x v="0"/>
    <x v="0"/>
    <n v="13413"/>
    <n v="8942"/>
    <s v="280"/>
  </r>
  <r>
    <x v="1"/>
    <x v="6"/>
    <x v="3"/>
    <x v="0"/>
    <x v="0"/>
    <n v="4026"/>
    <n v="2684"/>
    <s v="281"/>
  </r>
  <r>
    <x v="1"/>
    <x v="6"/>
    <x v="1"/>
    <x v="0"/>
    <x v="0"/>
    <n v="8832"/>
    <n v="5888"/>
    <s v="282"/>
  </r>
  <r>
    <x v="1"/>
    <x v="6"/>
    <x v="0"/>
    <x v="0"/>
    <x v="0"/>
    <n v="13413"/>
    <n v="8942"/>
    <s v="283"/>
  </r>
  <r>
    <x v="1"/>
    <x v="6"/>
    <x v="3"/>
    <x v="0"/>
    <x v="0"/>
    <n v="4026"/>
    <n v="2684"/>
    <s v="284"/>
  </r>
  <r>
    <x v="1"/>
    <x v="6"/>
    <x v="1"/>
    <x v="1"/>
    <x v="1"/>
    <n v="8832"/>
    <n v="5888"/>
    <s v="285"/>
  </r>
  <r>
    <x v="1"/>
    <x v="6"/>
    <x v="2"/>
    <x v="1"/>
    <x v="1"/>
    <n v="3547.5"/>
    <n v="2365"/>
    <s v="286"/>
  </r>
  <r>
    <x v="1"/>
    <x v="6"/>
    <x v="1"/>
    <x v="1"/>
    <x v="1"/>
    <n v="8832"/>
    <n v="5888"/>
    <s v="287"/>
  </r>
  <r>
    <x v="1"/>
    <x v="6"/>
    <x v="2"/>
    <x v="1"/>
    <x v="1"/>
    <n v="3547.5"/>
    <n v="2365"/>
    <s v="288"/>
  </r>
  <r>
    <x v="1"/>
    <x v="6"/>
    <x v="0"/>
    <x v="2"/>
    <x v="2"/>
    <n v="9486"/>
    <n v="6324"/>
    <s v="289"/>
  </r>
  <r>
    <x v="1"/>
    <x v="6"/>
    <x v="3"/>
    <x v="2"/>
    <x v="2"/>
    <n v="7342.5"/>
    <n v="4895"/>
    <s v="290"/>
  </r>
  <r>
    <x v="1"/>
    <x v="6"/>
    <x v="0"/>
    <x v="2"/>
    <x v="2"/>
    <n v="9486"/>
    <n v="6324"/>
    <s v="291"/>
  </r>
  <r>
    <x v="1"/>
    <x v="6"/>
    <x v="3"/>
    <x v="2"/>
    <x v="2"/>
    <n v="7342.5"/>
    <n v="4895"/>
    <s v="292"/>
  </r>
  <r>
    <x v="1"/>
    <x v="6"/>
    <x v="2"/>
    <x v="3"/>
    <x v="3"/>
    <n v="3547.5"/>
    <n v="2365"/>
    <s v="293"/>
  </r>
  <r>
    <x v="1"/>
    <x v="6"/>
    <x v="0"/>
    <x v="3"/>
    <x v="3"/>
    <n v="3238.5"/>
    <n v="2159"/>
    <s v="294"/>
  </r>
  <r>
    <x v="1"/>
    <x v="6"/>
    <x v="2"/>
    <x v="3"/>
    <x v="3"/>
    <n v="3547.5"/>
    <n v="2365"/>
    <s v="295"/>
  </r>
  <r>
    <x v="1"/>
    <x v="6"/>
    <x v="0"/>
    <x v="3"/>
    <x v="3"/>
    <n v="3238.5"/>
    <n v="2159"/>
    <s v="296"/>
  </r>
  <r>
    <x v="2"/>
    <x v="0"/>
    <x v="0"/>
    <x v="0"/>
    <x v="0"/>
    <n v="2395.5"/>
    <n v="1597"/>
    <s v="297"/>
  </r>
  <r>
    <x v="2"/>
    <x v="0"/>
    <x v="0"/>
    <x v="0"/>
    <x v="0"/>
    <n v="11761.5"/>
    <n v="7841"/>
    <s v="298"/>
  </r>
  <r>
    <x v="2"/>
    <x v="0"/>
    <x v="1"/>
    <x v="0"/>
    <x v="0"/>
    <n v="8943"/>
    <n v="5962"/>
    <s v="299"/>
  </r>
  <r>
    <x v="2"/>
    <x v="0"/>
    <x v="0"/>
    <x v="0"/>
    <x v="0"/>
    <n v="2395.5"/>
    <n v="1597"/>
    <s v="300"/>
  </r>
  <r>
    <x v="2"/>
    <x v="0"/>
    <x v="0"/>
    <x v="0"/>
    <x v="0"/>
    <n v="11761.5"/>
    <n v="7841"/>
    <s v="301"/>
  </r>
  <r>
    <x v="2"/>
    <x v="0"/>
    <x v="1"/>
    <x v="0"/>
    <x v="0"/>
    <n v="8943"/>
    <n v="5962"/>
    <s v="302"/>
  </r>
  <r>
    <x v="2"/>
    <x v="0"/>
    <x v="1"/>
    <x v="1"/>
    <x v="1"/>
    <n v="14596.5"/>
    <n v="9731"/>
    <s v="303"/>
  </r>
  <r>
    <x v="2"/>
    <x v="0"/>
    <x v="2"/>
    <x v="1"/>
    <x v="1"/>
    <n v="8793"/>
    <n v="5862"/>
    <s v="304"/>
  </r>
  <r>
    <x v="2"/>
    <x v="0"/>
    <x v="1"/>
    <x v="1"/>
    <x v="1"/>
    <n v="14596.5"/>
    <n v="9731"/>
    <s v="305"/>
  </r>
  <r>
    <x v="2"/>
    <x v="0"/>
    <x v="2"/>
    <x v="1"/>
    <x v="1"/>
    <n v="8793"/>
    <n v="5862"/>
    <s v="306"/>
  </r>
  <r>
    <x v="2"/>
    <x v="0"/>
    <x v="0"/>
    <x v="2"/>
    <x v="2"/>
    <n v="4666"/>
    <n v="5623"/>
    <s v="307"/>
  </r>
  <r>
    <x v="2"/>
    <x v="0"/>
    <x v="0"/>
    <x v="2"/>
    <x v="2"/>
    <n v="7318.5"/>
    <n v="4879"/>
    <s v="308"/>
  </r>
  <r>
    <x v="2"/>
    <x v="0"/>
    <x v="0"/>
    <x v="2"/>
    <x v="2"/>
    <n v="4666"/>
    <n v="5623"/>
    <s v="309"/>
  </r>
  <r>
    <x v="2"/>
    <x v="0"/>
    <x v="0"/>
    <x v="2"/>
    <x v="2"/>
    <n v="7318.5"/>
    <n v="4879"/>
    <s v="310"/>
  </r>
  <r>
    <x v="2"/>
    <x v="0"/>
    <x v="3"/>
    <x v="3"/>
    <x v="3"/>
    <n v="3553.5"/>
    <n v="2369"/>
    <s v="311"/>
  </r>
  <r>
    <x v="2"/>
    <x v="0"/>
    <x v="3"/>
    <x v="3"/>
    <x v="3"/>
    <n v="3553.5"/>
    <n v="2369"/>
    <s v="312"/>
  </r>
  <r>
    <x v="2"/>
    <x v="0"/>
    <x v="1"/>
    <x v="4"/>
    <x v="1"/>
    <n v="14596.5"/>
    <n v="9731"/>
    <s v="313"/>
  </r>
  <r>
    <x v="2"/>
    <x v="0"/>
    <x v="2"/>
    <x v="4"/>
    <x v="1"/>
    <n v="8793"/>
    <n v="5862"/>
    <s v="314"/>
  </r>
  <r>
    <x v="2"/>
    <x v="0"/>
    <x v="1"/>
    <x v="4"/>
    <x v="1"/>
    <n v="14596.5"/>
    <n v="9731"/>
    <s v="315"/>
  </r>
  <r>
    <x v="2"/>
    <x v="0"/>
    <x v="2"/>
    <x v="4"/>
    <x v="1"/>
    <n v="8793"/>
    <n v="5862"/>
    <s v="316"/>
  </r>
  <r>
    <x v="2"/>
    <x v="1"/>
    <x v="0"/>
    <x v="0"/>
    <x v="0"/>
    <n v="4887"/>
    <n v="3258"/>
    <s v="317"/>
  </r>
  <r>
    <x v="2"/>
    <x v="1"/>
    <x v="0"/>
    <x v="0"/>
    <x v="0"/>
    <n v="4887"/>
    <n v="3258"/>
    <s v="318"/>
  </r>
  <r>
    <x v="2"/>
    <x v="1"/>
    <x v="2"/>
    <x v="1"/>
    <x v="1"/>
    <n v="11122.5"/>
    <n v="7415"/>
    <s v="319"/>
  </r>
  <r>
    <x v="2"/>
    <x v="1"/>
    <x v="0"/>
    <x v="1"/>
    <x v="1"/>
    <n v="13428"/>
    <n v="8952"/>
    <s v="320"/>
  </r>
  <r>
    <x v="2"/>
    <x v="1"/>
    <x v="2"/>
    <x v="1"/>
    <x v="1"/>
    <n v="11122.5"/>
    <n v="7415"/>
    <s v="321"/>
  </r>
  <r>
    <x v="2"/>
    <x v="1"/>
    <x v="0"/>
    <x v="1"/>
    <x v="1"/>
    <n v="13428"/>
    <n v="8952"/>
    <s v="322"/>
  </r>
  <r>
    <x v="2"/>
    <x v="1"/>
    <x v="1"/>
    <x v="2"/>
    <x v="2"/>
    <n v="3897"/>
    <n v="2598"/>
    <s v="323"/>
  </r>
  <r>
    <x v="2"/>
    <x v="1"/>
    <x v="1"/>
    <x v="2"/>
    <x v="2"/>
    <n v="8832"/>
    <n v="5888"/>
    <s v="324"/>
  </r>
  <r>
    <x v="2"/>
    <x v="1"/>
    <x v="1"/>
    <x v="2"/>
    <x v="2"/>
    <n v="3897"/>
    <n v="2598"/>
    <s v="325"/>
  </r>
  <r>
    <x v="2"/>
    <x v="1"/>
    <x v="1"/>
    <x v="2"/>
    <x v="2"/>
    <n v="8832"/>
    <n v="5888"/>
    <s v="326"/>
  </r>
  <r>
    <x v="2"/>
    <x v="1"/>
    <x v="2"/>
    <x v="3"/>
    <x v="3"/>
    <n v="11122.5"/>
    <n v="7415"/>
    <s v="327"/>
  </r>
  <r>
    <x v="2"/>
    <x v="1"/>
    <x v="1"/>
    <x v="3"/>
    <x v="3"/>
    <n v="14647.5"/>
    <n v="9765"/>
    <s v="328"/>
  </r>
  <r>
    <x v="2"/>
    <x v="1"/>
    <x v="2"/>
    <x v="3"/>
    <x v="3"/>
    <n v="11122.5"/>
    <n v="7415"/>
    <s v="329"/>
  </r>
  <r>
    <x v="2"/>
    <x v="1"/>
    <x v="1"/>
    <x v="3"/>
    <x v="3"/>
    <n v="14647.5"/>
    <n v="9765"/>
    <s v="330"/>
  </r>
  <r>
    <x v="2"/>
    <x v="1"/>
    <x v="0"/>
    <x v="4"/>
    <x v="1"/>
    <n v="13428"/>
    <n v="8952"/>
    <s v="331"/>
  </r>
  <r>
    <x v="2"/>
    <x v="1"/>
    <x v="3"/>
    <x v="4"/>
    <x v="1"/>
    <n v="7480.5"/>
    <n v="4987"/>
    <s v="332"/>
  </r>
  <r>
    <x v="2"/>
    <x v="1"/>
    <x v="0"/>
    <x v="4"/>
    <x v="1"/>
    <n v="13428"/>
    <n v="8952"/>
    <s v="333"/>
  </r>
  <r>
    <x v="2"/>
    <x v="1"/>
    <x v="3"/>
    <x v="4"/>
    <x v="1"/>
    <n v="7480.5"/>
    <n v="4987"/>
    <s v="334"/>
  </r>
  <r>
    <x v="2"/>
    <x v="2"/>
    <x v="2"/>
    <x v="0"/>
    <x v="0"/>
    <n v="14619"/>
    <n v="9746"/>
    <s v="335"/>
  </r>
  <r>
    <x v="2"/>
    <x v="2"/>
    <x v="0"/>
    <x v="0"/>
    <x v="0"/>
    <n v="867"/>
    <n v="578"/>
    <s v="336"/>
  </r>
  <r>
    <x v="2"/>
    <x v="2"/>
    <x v="2"/>
    <x v="0"/>
    <x v="0"/>
    <n v="14619"/>
    <n v="9746"/>
    <s v="337"/>
  </r>
  <r>
    <x v="2"/>
    <x v="2"/>
    <x v="0"/>
    <x v="0"/>
    <x v="0"/>
    <n v="867"/>
    <n v="578"/>
    <s v="338"/>
  </r>
  <r>
    <x v="2"/>
    <x v="2"/>
    <x v="2"/>
    <x v="1"/>
    <x v="1"/>
    <n v="14619"/>
    <n v="9746"/>
    <s v="339"/>
  </r>
  <r>
    <x v="2"/>
    <x v="2"/>
    <x v="0"/>
    <x v="1"/>
    <x v="1"/>
    <n v="5380.5"/>
    <n v="3587"/>
    <s v="340"/>
  </r>
  <r>
    <x v="2"/>
    <x v="2"/>
    <x v="2"/>
    <x v="1"/>
    <x v="1"/>
    <n v="14619"/>
    <n v="9746"/>
    <s v="341"/>
  </r>
  <r>
    <x v="2"/>
    <x v="2"/>
    <x v="0"/>
    <x v="1"/>
    <x v="1"/>
    <n v="5380.5"/>
    <n v="3587"/>
    <s v="342"/>
  </r>
  <r>
    <x v="2"/>
    <x v="2"/>
    <x v="2"/>
    <x v="2"/>
    <x v="2"/>
    <n v="3547.5"/>
    <n v="2365"/>
    <s v="343"/>
  </r>
  <r>
    <x v="2"/>
    <x v="2"/>
    <x v="1"/>
    <x v="2"/>
    <x v="2"/>
    <n v="14596.5"/>
    <n v="9731"/>
    <s v="344"/>
  </r>
  <r>
    <x v="2"/>
    <x v="2"/>
    <x v="2"/>
    <x v="2"/>
    <x v="2"/>
    <n v="3547.5"/>
    <n v="2365"/>
    <s v="345"/>
  </r>
  <r>
    <x v="2"/>
    <x v="2"/>
    <x v="1"/>
    <x v="2"/>
    <x v="2"/>
    <n v="14596.5"/>
    <n v="9731"/>
    <s v="346"/>
  </r>
  <r>
    <x v="2"/>
    <x v="2"/>
    <x v="1"/>
    <x v="3"/>
    <x v="3"/>
    <n v="1398.6"/>
    <n v="999"/>
    <s v="347"/>
  </r>
  <r>
    <x v="2"/>
    <x v="2"/>
    <x v="2"/>
    <x v="3"/>
    <x v="3"/>
    <n v="219.79999999999998"/>
    <n v="157"/>
    <s v="348"/>
  </r>
  <r>
    <x v="2"/>
    <x v="2"/>
    <x v="1"/>
    <x v="3"/>
    <x v="3"/>
    <n v="1398.6"/>
    <n v="999"/>
    <s v="349"/>
  </r>
  <r>
    <x v="2"/>
    <x v="2"/>
    <x v="2"/>
    <x v="3"/>
    <x v="3"/>
    <n v="219.79999999999998"/>
    <n v="157"/>
    <s v="350"/>
  </r>
  <r>
    <x v="2"/>
    <x v="2"/>
    <x v="0"/>
    <x v="4"/>
    <x v="1"/>
    <n v="5021.7999999999993"/>
    <n v="3587"/>
    <s v="351"/>
  </r>
  <r>
    <x v="2"/>
    <x v="2"/>
    <x v="3"/>
    <x v="4"/>
    <x v="1"/>
    <n v="13483.4"/>
    <n v="9631"/>
    <s v="352"/>
  </r>
  <r>
    <x v="2"/>
    <x v="2"/>
    <x v="0"/>
    <x v="4"/>
    <x v="1"/>
    <n v="5021.7999999999993"/>
    <n v="3587"/>
    <s v="353"/>
  </r>
  <r>
    <x v="2"/>
    <x v="2"/>
    <x v="3"/>
    <x v="4"/>
    <x v="1"/>
    <n v="13483.4"/>
    <n v="9631"/>
    <s v="354"/>
  </r>
  <r>
    <x v="2"/>
    <x v="3"/>
    <x v="3"/>
    <x v="0"/>
    <x v="0"/>
    <n v="2209.1999999999998"/>
    <n v="1578"/>
    <s v="355"/>
  </r>
  <r>
    <x v="2"/>
    <x v="3"/>
    <x v="2"/>
    <x v="0"/>
    <x v="0"/>
    <n v="6421.7999999999993"/>
    <n v="4587"/>
    <s v="356"/>
  </r>
  <r>
    <x v="2"/>
    <x v="3"/>
    <x v="3"/>
    <x v="0"/>
    <x v="0"/>
    <n v="2209.1999999999998"/>
    <n v="1578"/>
    <s v="357"/>
  </r>
  <r>
    <x v="2"/>
    <x v="3"/>
    <x v="2"/>
    <x v="0"/>
    <x v="0"/>
    <n v="6421.7999999999993"/>
    <n v="4587"/>
    <s v="358"/>
  </r>
  <r>
    <x v="2"/>
    <x v="3"/>
    <x v="0"/>
    <x v="1"/>
    <x v="1"/>
    <n v="11048.8"/>
    <n v="7892"/>
    <s v="359"/>
  </r>
  <r>
    <x v="2"/>
    <x v="3"/>
    <x v="3"/>
    <x v="1"/>
    <x v="1"/>
    <n v="2209.1999999999998"/>
    <n v="1578"/>
    <s v="360"/>
  </r>
  <r>
    <x v="2"/>
    <x v="3"/>
    <x v="0"/>
    <x v="1"/>
    <x v="1"/>
    <n v="6561.7999999999993"/>
    <n v="4687"/>
    <s v="361"/>
  </r>
  <r>
    <x v="2"/>
    <x v="3"/>
    <x v="1"/>
    <x v="1"/>
    <x v="1"/>
    <n v="1909.6"/>
    <n v="1364"/>
    <s v="362"/>
  </r>
  <r>
    <x v="2"/>
    <x v="3"/>
    <x v="0"/>
    <x v="1"/>
    <x v="1"/>
    <n v="11048.8"/>
    <n v="7892"/>
    <s v="363"/>
  </r>
  <r>
    <x v="2"/>
    <x v="3"/>
    <x v="3"/>
    <x v="1"/>
    <x v="1"/>
    <n v="2209.1999999999998"/>
    <n v="1578"/>
    <s v="364"/>
  </r>
  <r>
    <x v="2"/>
    <x v="3"/>
    <x v="0"/>
    <x v="1"/>
    <x v="1"/>
    <n v="6561.7999999999993"/>
    <n v="4687"/>
    <s v="365"/>
  </r>
  <r>
    <x v="2"/>
    <x v="3"/>
    <x v="1"/>
    <x v="1"/>
    <x v="1"/>
    <n v="1909.6"/>
    <n v="1364"/>
    <s v="366"/>
  </r>
  <r>
    <x v="2"/>
    <x v="3"/>
    <x v="2"/>
    <x v="2"/>
    <x v="2"/>
    <n v="8206.7999999999993"/>
    <n v="5862"/>
    <s v="367"/>
  </r>
  <r>
    <x v="2"/>
    <x v="3"/>
    <x v="2"/>
    <x v="2"/>
    <x v="2"/>
    <n v="10381"/>
    <n v="7415"/>
    <s v="368"/>
  </r>
  <r>
    <x v="2"/>
    <x v="3"/>
    <x v="0"/>
    <x v="2"/>
    <x v="2"/>
    <n v="12532.8"/>
    <n v="8952"/>
    <s v="369"/>
  </r>
  <r>
    <x v="2"/>
    <x v="3"/>
    <x v="2"/>
    <x v="2"/>
    <x v="2"/>
    <n v="13644.4"/>
    <n v="9746"/>
    <s v="370"/>
  </r>
  <r>
    <x v="2"/>
    <x v="3"/>
    <x v="3"/>
    <x v="2"/>
    <x v="2"/>
    <n v="2209.1999999999998"/>
    <n v="1578"/>
    <s v="371"/>
  </r>
  <r>
    <x v="2"/>
    <x v="3"/>
    <x v="2"/>
    <x v="2"/>
    <x v="2"/>
    <n v="8206.7999999999993"/>
    <n v="5862"/>
    <s v="372"/>
  </r>
  <r>
    <x v="2"/>
    <x v="3"/>
    <x v="2"/>
    <x v="2"/>
    <x v="2"/>
    <n v="10381"/>
    <n v="7415"/>
    <s v="373"/>
  </r>
  <r>
    <x v="2"/>
    <x v="3"/>
    <x v="0"/>
    <x v="2"/>
    <x v="2"/>
    <n v="12532.8"/>
    <n v="8952"/>
    <s v="374"/>
  </r>
  <r>
    <x v="2"/>
    <x v="3"/>
    <x v="2"/>
    <x v="2"/>
    <x v="2"/>
    <n v="13644.4"/>
    <n v="9746"/>
    <s v="375"/>
  </r>
  <r>
    <x v="2"/>
    <x v="3"/>
    <x v="3"/>
    <x v="2"/>
    <x v="2"/>
    <n v="2209.1999999999998"/>
    <n v="1578"/>
    <s v="376"/>
  </r>
  <r>
    <x v="2"/>
    <x v="3"/>
    <x v="0"/>
    <x v="3"/>
    <x v="3"/>
    <n v="11048.8"/>
    <n v="7892"/>
    <s v="377"/>
  </r>
  <r>
    <x v="2"/>
    <x v="3"/>
    <x v="0"/>
    <x v="3"/>
    <x v="3"/>
    <n v="11180.4"/>
    <n v="7986"/>
    <s v="378"/>
  </r>
  <r>
    <x v="2"/>
    <x v="3"/>
    <x v="0"/>
    <x v="3"/>
    <x v="3"/>
    <n v="11048.8"/>
    <n v="7892"/>
    <s v="379"/>
  </r>
  <r>
    <x v="2"/>
    <x v="3"/>
    <x v="0"/>
    <x v="3"/>
    <x v="3"/>
    <n v="11180.4"/>
    <n v="7986"/>
    <s v="380"/>
  </r>
  <r>
    <x v="2"/>
    <x v="3"/>
    <x v="0"/>
    <x v="4"/>
    <x v="1"/>
    <n v="6561.7999999999993"/>
    <n v="4687"/>
    <s v="381"/>
  </r>
  <r>
    <x v="2"/>
    <x v="3"/>
    <x v="1"/>
    <x v="4"/>
    <x v="1"/>
    <n v="1909.6"/>
    <n v="1364"/>
    <s v="382"/>
  </r>
  <r>
    <x v="2"/>
    <x v="3"/>
    <x v="0"/>
    <x v="4"/>
    <x v="1"/>
    <n v="6561.7999999999993"/>
    <n v="4687"/>
    <s v="383"/>
  </r>
  <r>
    <x v="2"/>
    <x v="3"/>
    <x v="1"/>
    <x v="4"/>
    <x v="1"/>
    <n v="1909.6"/>
    <n v="1364"/>
    <s v="384"/>
  </r>
  <r>
    <x v="2"/>
    <x v="4"/>
    <x v="1"/>
    <x v="0"/>
    <x v="0"/>
    <n v="697.19999999999993"/>
    <n v="498"/>
    <s v="385"/>
  </r>
  <r>
    <x v="2"/>
    <x v="4"/>
    <x v="3"/>
    <x v="0"/>
    <x v="0"/>
    <n v="6853"/>
    <n v="4895"/>
    <s v="386"/>
  </r>
  <r>
    <x v="2"/>
    <x v="4"/>
    <x v="1"/>
    <x v="0"/>
    <x v="0"/>
    <n v="697.19999999999993"/>
    <n v="498"/>
    <s v="387"/>
  </r>
  <r>
    <x v="2"/>
    <x v="4"/>
    <x v="3"/>
    <x v="0"/>
    <x v="0"/>
    <n v="6853"/>
    <n v="4895"/>
    <s v="388"/>
  </r>
  <r>
    <x v="2"/>
    <x v="4"/>
    <x v="3"/>
    <x v="1"/>
    <x v="1"/>
    <n v="6854.4"/>
    <n v="4896"/>
    <s v="389"/>
  </r>
  <r>
    <x v="2"/>
    <x v="4"/>
    <x v="0"/>
    <x v="1"/>
    <x v="1"/>
    <n v="6421.7999999999993"/>
    <n v="4587"/>
    <s v="390"/>
  </r>
  <r>
    <x v="2"/>
    <x v="4"/>
    <x v="3"/>
    <x v="1"/>
    <x v="1"/>
    <n v="6854.4"/>
    <n v="4896"/>
    <s v="391"/>
  </r>
  <r>
    <x v="2"/>
    <x v="4"/>
    <x v="0"/>
    <x v="1"/>
    <x v="1"/>
    <n v="6421.7999999999993"/>
    <n v="4587"/>
    <s v="392"/>
  </r>
  <r>
    <x v="2"/>
    <x v="4"/>
    <x v="0"/>
    <x v="2"/>
    <x v="2"/>
    <n v="5021.7999999999993"/>
    <n v="3587"/>
    <s v="393"/>
  </r>
  <r>
    <x v="2"/>
    <x v="4"/>
    <x v="0"/>
    <x v="2"/>
    <x v="2"/>
    <n v="11048.8"/>
    <n v="7892"/>
    <s v="394"/>
  </r>
  <r>
    <x v="2"/>
    <x v="4"/>
    <x v="0"/>
    <x v="2"/>
    <x v="2"/>
    <n v="5021.7999999999993"/>
    <n v="3587"/>
    <s v="395"/>
  </r>
  <r>
    <x v="2"/>
    <x v="4"/>
    <x v="0"/>
    <x v="2"/>
    <x v="2"/>
    <n v="11048.8"/>
    <n v="7892"/>
    <s v="396"/>
  </r>
  <r>
    <x v="2"/>
    <x v="4"/>
    <x v="3"/>
    <x v="3"/>
    <x v="3"/>
    <n v="6854.4"/>
    <n v="4896"/>
    <s v="397"/>
  </r>
  <r>
    <x v="2"/>
    <x v="4"/>
    <x v="0"/>
    <x v="3"/>
    <x v="3"/>
    <n v="6421.7999999999993"/>
    <n v="4587"/>
    <s v="398"/>
  </r>
  <r>
    <x v="2"/>
    <x v="4"/>
    <x v="0"/>
    <x v="3"/>
    <x v="3"/>
    <n v="6830.5999999999995"/>
    <n v="4879"/>
    <s v="399"/>
  </r>
  <r>
    <x v="2"/>
    <x v="4"/>
    <x v="3"/>
    <x v="3"/>
    <x v="3"/>
    <n v="6854.4"/>
    <n v="4896"/>
    <s v="400"/>
  </r>
  <r>
    <x v="2"/>
    <x v="4"/>
    <x v="0"/>
    <x v="3"/>
    <x v="3"/>
    <n v="6421.7999999999993"/>
    <n v="4587"/>
    <s v="401"/>
  </r>
  <r>
    <x v="2"/>
    <x v="4"/>
    <x v="0"/>
    <x v="3"/>
    <x v="3"/>
    <n v="6830.5999999999995"/>
    <n v="4879"/>
    <s v="402"/>
  </r>
  <r>
    <x v="2"/>
    <x v="4"/>
    <x v="2"/>
    <x v="4"/>
    <x v="1"/>
    <n v="6421.7999999999993"/>
    <n v="4587"/>
    <s v="403"/>
  </r>
  <r>
    <x v="2"/>
    <x v="4"/>
    <x v="0"/>
    <x v="4"/>
    <x v="1"/>
    <n v="8853.5999999999985"/>
    <n v="6324"/>
    <s v="404"/>
  </r>
  <r>
    <x v="2"/>
    <x v="4"/>
    <x v="2"/>
    <x v="4"/>
    <x v="1"/>
    <n v="6421.7999999999993"/>
    <n v="4587"/>
    <s v="405"/>
  </r>
  <r>
    <x v="2"/>
    <x v="4"/>
    <x v="0"/>
    <x v="4"/>
    <x v="1"/>
    <n v="8853.5999999999985"/>
    <n v="6324"/>
    <s v="406"/>
  </r>
  <r>
    <x v="2"/>
    <x v="5"/>
    <x v="0"/>
    <x v="0"/>
    <x v="0"/>
    <n v="7872.2"/>
    <n v="5623"/>
    <s v="407"/>
  </r>
  <r>
    <x v="2"/>
    <x v="5"/>
    <x v="0"/>
    <x v="0"/>
    <x v="0"/>
    <n v="10259.199999999999"/>
    <n v="7328"/>
    <s v="408"/>
  </r>
  <r>
    <x v="2"/>
    <x v="5"/>
    <x v="0"/>
    <x v="0"/>
    <x v="0"/>
    <n v="7872.2"/>
    <n v="5623"/>
    <s v="409"/>
  </r>
  <r>
    <x v="2"/>
    <x v="5"/>
    <x v="0"/>
    <x v="0"/>
    <x v="0"/>
    <n v="10259.199999999999"/>
    <n v="7328"/>
    <s v="410"/>
  </r>
  <r>
    <x v="2"/>
    <x v="5"/>
    <x v="0"/>
    <x v="1"/>
    <x v="1"/>
    <n v="7872.2"/>
    <n v="5623"/>
    <s v="411"/>
  </r>
  <r>
    <x v="2"/>
    <x v="5"/>
    <x v="1"/>
    <x v="1"/>
    <x v="1"/>
    <n v="3637.2"/>
    <n v="2598"/>
    <s v="412"/>
  </r>
  <r>
    <x v="2"/>
    <x v="5"/>
    <x v="0"/>
    <x v="1"/>
    <x v="1"/>
    <n v="7872.2"/>
    <n v="5623"/>
    <s v="413"/>
  </r>
  <r>
    <x v="2"/>
    <x v="5"/>
    <x v="1"/>
    <x v="1"/>
    <x v="1"/>
    <n v="3637.2"/>
    <n v="2598"/>
    <s v="414"/>
  </r>
  <r>
    <x v="2"/>
    <x v="5"/>
    <x v="1"/>
    <x v="2"/>
    <x v="2"/>
    <n v="697.19999999999993"/>
    <n v="498"/>
    <s v="415"/>
  </r>
  <r>
    <x v="2"/>
    <x v="5"/>
    <x v="2"/>
    <x v="2"/>
    <x v="2"/>
    <n v="6421.7999999999993"/>
    <n v="4587"/>
    <s v="416"/>
  </r>
  <r>
    <x v="2"/>
    <x v="5"/>
    <x v="1"/>
    <x v="2"/>
    <x v="2"/>
    <n v="697.19999999999993"/>
    <n v="498"/>
    <s v="417"/>
  </r>
  <r>
    <x v="2"/>
    <x v="5"/>
    <x v="2"/>
    <x v="2"/>
    <x v="2"/>
    <n v="6421.7999999999993"/>
    <n v="4587"/>
    <s v="418"/>
  </r>
  <r>
    <x v="2"/>
    <x v="5"/>
    <x v="1"/>
    <x v="3"/>
    <x v="3"/>
    <n v="3637.2"/>
    <n v="2598"/>
    <s v="419"/>
  </r>
  <r>
    <x v="2"/>
    <x v="5"/>
    <x v="3"/>
    <x v="3"/>
    <x v="3"/>
    <n v="2878.3999999999996"/>
    <n v="2056"/>
    <s v="420"/>
  </r>
  <r>
    <x v="2"/>
    <x v="5"/>
    <x v="1"/>
    <x v="3"/>
    <x v="3"/>
    <n v="3637.2"/>
    <n v="2598"/>
    <s v="421"/>
  </r>
  <r>
    <x v="2"/>
    <x v="5"/>
    <x v="3"/>
    <x v="3"/>
    <x v="3"/>
    <n v="2878.3999999999996"/>
    <n v="2056"/>
    <s v="422"/>
  </r>
  <r>
    <x v="2"/>
    <x v="5"/>
    <x v="2"/>
    <x v="4"/>
    <x v="1"/>
    <n v="11545.8"/>
    <n v="8247"/>
    <s v="423"/>
  </r>
  <r>
    <x v="2"/>
    <x v="5"/>
    <x v="0"/>
    <x v="4"/>
    <x v="1"/>
    <n v="12349.4"/>
    <n v="8821"/>
    <s v="424"/>
  </r>
  <r>
    <x v="2"/>
    <x v="5"/>
    <x v="2"/>
    <x v="4"/>
    <x v="1"/>
    <n v="11545.8"/>
    <n v="8247"/>
    <s v="425"/>
  </r>
  <r>
    <x v="2"/>
    <x v="5"/>
    <x v="0"/>
    <x v="4"/>
    <x v="1"/>
    <n v="12349.4"/>
    <n v="8821"/>
    <s v="426"/>
  </r>
  <r>
    <x v="2"/>
    <x v="6"/>
    <x v="1"/>
    <x v="0"/>
    <x v="0"/>
    <n v="8243.1999999999989"/>
    <n v="5888"/>
    <s v="427"/>
  </r>
  <r>
    <x v="2"/>
    <x v="6"/>
    <x v="0"/>
    <x v="0"/>
    <x v="0"/>
    <n v="12518.8"/>
    <n v="8942"/>
    <s v="428"/>
  </r>
  <r>
    <x v="2"/>
    <x v="6"/>
    <x v="3"/>
    <x v="0"/>
    <x v="0"/>
    <n v="3757.6"/>
    <n v="2684"/>
    <s v="429"/>
  </r>
  <r>
    <x v="2"/>
    <x v="6"/>
    <x v="1"/>
    <x v="0"/>
    <x v="0"/>
    <n v="8243.1999999999989"/>
    <n v="5888"/>
    <s v="430"/>
  </r>
  <r>
    <x v="2"/>
    <x v="6"/>
    <x v="0"/>
    <x v="0"/>
    <x v="0"/>
    <n v="12518.8"/>
    <n v="8942"/>
    <s v="431"/>
  </r>
  <r>
    <x v="2"/>
    <x v="6"/>
    <x v="3"/>
    <x v="0"/>
    <x v="0"/>
    <n v="3757.6"/>
    <n v="2684"/>
    <s v="432"/>
  </r>
  <r>
    <x v="2"/>
    <x v="6"/>
    <x v="1"/>
    <x v="1"/>
    <x v="1"/>
    <n v="8243.1999999999989"/>
    <n v="5888"/>
    <s v="433"/>
  </r>
  <r>
    <x v="2"/>
    <x v="6"/>
    <x v="2"/>
    <x v="1"/>
    <x v="1"/>
    <n v="3311"/>
    <n v="2365"/>
    <s v="434"/>
  </r>
  <r>
    <x v="2"/>
    <x v="6"/>
    <x v="1"/>
    <x v="1"/>
    <x v="1"/>
    <n v="8243.1999999999989"/>
    <n v="5888"/>
    <s v="435"/>
  </r>
  <r>
    <x v="2"/>
    <x v="6"/>
    <x v="2"/>
    <x v="1"/>
    <x v="1"/>
    <n v="3311"/>
    <n v="2365"/>
    <s v="436"/>
  </r>
  <r>
    <x v="2"/>
    <x v="6"/>
    <x v="0"/>
    <x v="2"/>
    <x v="2"/>
    <n v="8853.5999999999985"/>
    <n v="6324"/>
    <s v="437"/>
  </r>
  <r>
    <x v="2"/>
    <x v="6"/>
    <x v="3"/>
    <x v="2"/>
    <x v="2"/>
    <n v="6853"/>
    <n v="4895"/>
    <s v="438"/>
  </r>
  <r>
    <x v="2"/>
    <x v="6"/>
    <x v="0"/>
    <x v="2"/>
    <x v="2"/>
    <n v="8853.5999999999985"/>
    <n v="6324"/>
    <s v="439"/>
  </r>
  <r>
    <x v="2"/>
    <x v="6"/>
    <x v="3"/>
    <x v="2"/>
    <x v="2"/>
    <n v="6853"/>
    <n v="4895"/>
    <s v="440"/>
  </r>
  <r>
    <x v="2"/>
    <x v="6"/>
    <x v="2"/>
    <x v="3"/>
    <x v="3"/>
    <n v="3311"/>
    <n v="2365"/>
    <s v="441"/>
  </r>
  <r>
    <x v="2"/>
    <x v="6"/>
    <x v="0"/>
    <x v="3"/>
    <x v="3"/>
    <n v="3022.6"/>
    <n v="2159"/>
    <s v="442"/>
  </r>
  <r>
    <x v="2"/>
    <x v="6"/>
    <x v="2"/>
    <x v="3"/>
    <x v="3"/>
    <n v="3311"/>
    <n v="2365"/>
    <s v="443"/>
  </r>
  <r>
    <x v="2"/>
    <x v="6"/>
    <x v="0"/>
    <x v="3"/>
    <x v="3"/>
    <n v="3022.6"/>
    <n v="2159"/>
    <s v="4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B0512D-1C45-4ADC-A239-41C061D2EC8F}" name="PivotTableSummarizingsales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F50" firstHeaderRow="1" firstDataRow="2" firstDataCol="1"/>
  <pivotFields count="9">
    <pivotField axis="axisRow" showAll="0">
      <items count="4">
        <item x="0"/>
        <item x="1"/>
        <item x="2"/>
        <item t="default"/>
      </items>
    </pivotField>
    <pivotField axis="axisRow" showAll="0">
      <items count="8">
        <item x="0"/>
        <item x="1"/>
        <item x="2"/>
        <item x="3"/>
        <item x="4"/>
        <item x="5"/>
        <item x="6"/>
        <item t="default"/>
      </items>
    </pivotField>
    <pivotField axis="axisCol" showAll="0">
      <items count="5">
        <item x="1"/>
        <item x="0"/>
        <item x="3"/>
        <item x="2"/>
        <item t="default"/>
      </items>
    </pivotField>
    <pivotField showAll="0">
      <items count="6">
        <item x="0"/>
        <item x="1"/>
        <item x="2"/>
        <item x="3"/>
        <item x="4"/>
        <item t="default"/>
      </items>
    </pivotField>
    <pivotField axis="axisRow" showAll="0">
      <items count="5">
        <item h="1" x="1"/>
        <item h="1" x="2"/>
        <item x="3"/>
        <item h="1" x="0"/>
        <item t="default"/>
      </items>
    </pivotField>
    <pivotField dataField="1" numFmtId="8" showAll="0"/>
    <pivotField showAll="0"/>
    <pivotField showAll="0"/>
    <pivotField showAll="0">
      <items count="4">
        <item n="1st Qtr" sd="0" x="0"/>
        <item n="2nd Qtr" sd="0" x="1"/>
        <item n="3rd Qtr" sd="0" x="2"/>
        <item t="default"/>
      </items>
    </pivotField>
  </pivotFields>
  <rowFields count="3">
    <field x="0"/>
    <field x="1"/>
    <field x="4"/>
  </rowFields>
  <rowItems count="46">
    <i>
      <x/>
    </i>
    <i r="1">
      <x/>
    </i>
    <i r="2">
      <x v="2"/>
    </i>
    <i r="1">
      <x v="1"/>
    </i>
    <i r="2">
      <x v="2"/>
    </i>
    <i r="1">
      <x v="2"/>
    </i>
    <i r="2">
      <x v="2"/>
    </i>
    <i r="1">
      <x v="3"/>
    </i>
    <i r="2">
      <x v="2"/>
    </i>
    <i r="1">
      <x v="4"/>
    </i>
    <i r="2">
      <x v="2"/>
    </i>
    <i r="1">
      <x v="5"/>
    </i>
    <i r="2">
      <x v="2"/>
    </i>
    <i r="1">
      <x v="6"/>
    </i>
    <i r="2">
      <x v="2"/>
    </i>
    <i>
      <x v="1"/>
    </i>
    <i r="1">
      <x/>
    </i>
    <i r="2">
      <x v="2"/>
    </i>
    <i r="1">
      <x v="1"/>
    </i>
    <i r="2">
      <x v="2"/>
    </i>
    <i r="1">
      <x v="2"/>
    </i>
    <i r="2">
      <x v="2"/>
    </i>
    <i r="1">
      <x v="3"/>
    </i>
    <i r="2">
      <x v="2"/>
    </i>
    <i r="1">
      <x v="4"/>
    </i>
    <i r="2">
      <x v="2"/>
    </i>
    <i r="1">
      <x v="5"/>
    </i>
    <i r="2">
      <x v="2"/>
    </i>
    <i r="1">
      <x v="6"/>
    </i>
    <i r="2">
      <x v="2"/>
    </i>
    <i>
      <x v="2"/>
    </i>
    <i r="1">
      <x/>
    </i>
    <i r="2">
      <x v="2"/>
    </i>
    <i r="1">
      <x v="1"/>
    </i>
    <i r="2">
      <x v="2"/>
    </i>
    <i r="1">
      <x v="2"/>
    </i>
    <i r="2">
      <x v="2"/>
    </i>
    <i r="1">
      <x v="3"/>
    </i>
    <i r="2">
      <x v="2"/>
    </i>
    <i r="1">
      <x v="4"/>
    </i>
    <i r="2">
      <x v="2"/>
    </i>
    <i r="1">
      <x v="5"/>
    </i>
    <i r="2">
      <x v="2"/>
    </i>
    <i r="1">
      <x v="6"/>
    </i>
    <i r="2">
      <x v="2"/>
    </i>
    <i t="grand">
      <x/>
    </i>
  </rowItems>
  <colFields count="1">
    <field x="2"/>
  </colFields>
  <colItems count="5">
    <i>
      <x/>
    </i>
    <i>
      <x v="1"/>
    </i>
    <i>
      <x v="2"/>
    </i>
    <i>
      <x v="3"/>
    </i>
    <i t="grand">
      <x/>
    </i>
  </colItems>
  <dataFields count="1">
    <dataField name="Sum of Sales" fld="5" baseField="0" baseItem="0"/>
  </dataFields>
  <chartFormats count="11">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0"/>
          </reference>
          <reference field="1" count="1" selected="0">
            <x v="2"/>
          </reference>
        </references>
      </pivotArea>
    </chartFormat>
    <chartFormat chart="0" format="4" series="1">
      <pivotArea type="data" outline="0" fieldPosition="0">
        <references count="2">
          <reference field="4294967294" count="1" selected="0">
            <x v="0"/>
          </reference>
          <reference field="1" count="1" selected="0">
            <x v="3"/>
          </reference>
        </references>
      </pivotArea>
    </chartFormat>
    <chartFormat chart="0" format="5" series="1">
      <pivotArea type="data" outline="0" fieldPosition="0">
        <references count="2">
          <reference field="4294967294" count="1" selected="0">
            <x v="0"/>
          </reference>
          <reference field="1" count="1" selected="0">
            <x v="4"/>
          </reference>
        </references>
      </pivotArea>
    </chartFormat>
    <chartFormat chart="0" format="6" series="1">
      <pivotArea type="data" outline="0" fieldPosition="0">
        <references count="2">
          <reference field="4294967294" count="1" selected="0">
            <x v="0"/>
          </reference>
          <reference field="1" count="1" selected="0">
            <x v="5"/>
          </reference>
        </references>
      </pivotArea>
    </chartFormat>
    <chartFormat chart="0" format="7" series="1">
      <pivotArea type="data" outline="0" fieldPosition="0">
        <references count="2">
          <reference field="4294967294" count="1" selected="0">
            <x v="0"/>
          </reference>
          <reference field="1" count="1" selected="0">
            <x v="6"/>
          </reference>
        </references>
      </pivotArea>
    </chartFormat>
    <chartFormat chart="0" format="9" series="1">
      <pivotArea type="data" outline="0" fieldPosition="0">
        <references count="2">
          <reference field="4294967294" count="1" selected="0">
            <x v="0"/>
          </reference>
          <reference field="2" count="1" selected="0">
            <x v="1"/>
          </reference>
        </references>
      </pivotArea>
    </chartFormat>
    <chartFormat chart="0" format="10" series="1">
      <pivotArea type="data" outline="0" fieldPosition="0">
        <references count="2">
          <reference field="4294967294" count="1" selected="0">
            <x v="0"/>
          </reference>
          <reference field="2" count="1" selected="0">
            <x v="2"/>
          </reference>
        </references>
      </pivotArea>
    </chartFormat>
    <chartFormat chart="0" format="11" series="1">
      <pivotArea type="data" outline="0" fieldPosition="0">
        <references count="2">
          <reference field="4294967294" count="1" selected="0">
            <x v="0"/>
          </reference>
          <reference field="2" count="1" selected="0">
            <x v="3"/>
          </reference>
        </references>
      </pivotArea>
    </chartFormat>
    <chartFormat chart="0" format="12"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EB536A-78B2-4210-8E7E-93CF7AE06758}" name="PivotTableSummarizingSalesPerSalesperson" cacheId="3" applyNumberFormats="0" applyBorderFormats="0" applyFontFormats="0" applyPatternFormats="0" applyAlignmentFormats="0" applyWidthHeightFormats="1" dataCaption="Values" updatedVersion="8" minRefreshableVersion="3" useAutoFormatting="1" subtotalHiddenItems="1" itemPrintTitles="1" createdVersion="8" indent="0" showHeaders="0" outline="1" outlineData="1" multipleFieldFilters="0">
  <location ref="A3:C22" firstHeaderRow="0" firstDataRow="1" firstDataCol="1"/>
  <pivotFields count="4">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9">
    <i>
      <x/>
    </i>
    <i r="1">
      <x/>
    </i>
    <i r="1">
      <x v="1"/>
    </i>
    <i r="1">
      <x v="2"/>
    </i>
    <i r="1">
      <x v="3"/>
    </i>
    <i r="1">
      <x v="4"/>
    </i>
    <i>
      <x v="1"/>
    </i>
    <i r="1">
      <x/>
    </i>
    <i r="1">
      <x v="1"/>
    </i>
    <i r="1">
      <x v="2"/>
    </i>
    <i r="1">
      <x v="3"/>
    </i>
    <i r="1">
      <x v="4"/>
    </i>
    <i>
      <x v="2"/>
    </i>
    <i r="1">
      <x/>
    </i>
    <i r="1">
      <x v="1"/>
    </i>
    <i r="1">
      <x v="2"/>
    </i>
    <i r="1">
      <x v="3"/>
    </i>
    <i r="1">
      <x v="4"/>
    </i>
    <i t="grand">
      <x/>
    </i>
  </rowItems>
  <colFields count="1">
    <field x="-2"/>
  </colFields>
  <colItems count="2">
    <i>
      <x/>
    </i>
    <i i="1">
      <x v="1"/>
    </i>
  </colItems>
  <dataFields count="2">
    <dataField name="Sum of Sales" fld="2" baseField="0" baseItem="0" numFmtId="166"/>
    <dataField name="% of Grand Total" fld="3" showDataAs="percentOfTotal" baseField="1" baseItem="0" numFmtId="10">
      <extLst>
        <ext xmlns:x14="http://schemas.microsoft.com/office/spreadsheetml/2009/9/main" uri="{E15A36E0-9728-4e99-A89B-3F7291B0FE68}">
          <x14:dataField sourceField="2" uniqueName="[__Xl2].[Measures].[Sum of Sales]"/>
        </ext>
      </extLst>
    </dataField>
  </dataFields>
  <pivotHierarchies count="13">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 of Grand Total"/>
    <pivotHierarchy dragToData="1" caption="Average of Sales"/>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0"/>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102Exercises_after_my_follow_along_work_with_instructor.xlsx!YearlySales">
        <x15:activeTabTopLevelEntity name="[Yearly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045776-A5C9-4748-8CCD-491EF498B416}" name="PivotTable2" cacheId="2"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2">
  <location ref="A3:C28" firstHeaderRow="0" firstDataRow="1" firstDataCol="1" rowPageCount="1" colPageCount="1"/>
  <pivotFields count="9">
    <pivotField axis="axisRow" showAll="0">
      <items count="4">
        <item x="0"/>
        <item x="1"/>
        <item x="2"/>
        <item t="default"/>
      </items>
    </pivotField>
    <pivotField axis="axisRow" showAll="0">
      <items count="8">
        <item x="0"/>
        <item x="1"/>
        <item x="2"/>
        <item x="3"/>
        <item x="4"/>
        <item x="5"/>
        <item x="6"/>
        <item t="default"/>
      </items>
    </pivotField>
    <pivotField showAll="0"/>
    <pivotField axis="axisPage" showAll="0">
      <items count="6">
        <item x="0"/>
        <item x="1"/>
        <item x="2"/>
        <item x="3"/>
        <item x="4"/>
        <item t="default"/>
      </items>
    </pivotField>
    <pivotField showAll="0"/>
    <pivotField dataField="1" numFmtId="8" showAll="0"/>
    <pivotField showAll="0"/>
    <pivotField showAll="0"/>
    <pivotField showAll="0" defaultSubtotal="0">
      <items count="3">
        <item x="0"/>
        <item x="1"/>
        <item x="2"/>
      </items>
    </pivotField>
  </pivotFields>
  <rowFields count="2">
    <field x="0"/>
    <field x="1"/>
  </rowFields>
  <rowItems count="25">
    <i>
      <x/>
    </i>
    <i r="1">
      <x/>
    </i>
    <i r="1">
      <x v="1"/>
    </i>
    <i r="1">
      <x v="2"/>
    </i>
    <i r="1">
      <x v="3"/>
    </i>
    <i r="1">
      <x v="4"/>
    </i>
    <i r="1">
      <x v="5"/>
    </i>
    <i r="1">
      <x v="6"/>
    </i>
    <i>
      <x v="1"/>
    </i>
    <i r="1">
      <x/>
    </i>
    <i r="1">
      <x v="1"/>
    </i>
    <i r="1">
      <x v="2"/>
    </i>
    <i r="1">
      <x v="3"/>
    </i>
    <i r="1">
      <x v="4"/>
    </i>
    <i r="1">
      <x v="5"/>
    </i>
    <i r="1">
      <x v="6"/>
    </i>
    <i>
      <x v="2"/>
    </i>
    <i r="1">
      <x/>
    </i>
    <i r="1">
      <x v="1"/>
    </i>
    <i r="1">
      <x v="2"/>
    </i>
    <i r="1">
      <x v="3"/>
    </i>
    <i r="1">
      <x v="4"/>
    </i>
    <i r="1">
      <x v="5"/>
    </i>
    <i r="1">
      <x v="6"/>
    </i>
    <i t="grand">
      <x/>
    </i>
  </rowItems>
  <colFields count="1">
    <field x="-2"/>
  </colFields>
  <colItems count="2">
    <i>
      <x/>
    </i>
    <i i="1">
      <x v="1"/>
    </i>
  </colItems>
  <pageFields count="1">
    <pageField fld="3" hier="-1"/>
  </pageFields>
  <dataFields count="2">
    <dataField name="Sum of Sales" fld="5" baseField="1" baseItem="1" numFmtId="166"/>
    <dataField name="% Sales Difference From" fld="5" showDataAs="percentDiff" baseField="1" baseItem="1048828"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35587DB-2C9D-4443-BAC1-CF6F77BBFF08}" sourceName="Year">
  <pivotTables>
    <pivotTable tabId="25" name="PivotTableSummarizingsales1"/>
  </pivotTables>
  <data>
    <tabular pivotCacheId="12896861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1B24B11-C168-4EE9-92F0-458E80A76E72}" sourceName="Region">
  <pivotTables>
    <pivotTable tabId="25" name="PivotTableSummarizingsales1"/>
  </pivotTables>
  <data>
    <tabular pivotCacheId="128968616">
      <items count="4">
        <i x="1"/>
        <i x="2"/>
        <i x="3"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E3DD984F-93A7-44CA-B88F-C842721061E0}" sourceName="Year">
  <pivotTables>
    <pivotTable tabId="31" name="PivotTable2"/>
  </pivotTables>
  <data>
    <tabular pivotCacheId="12896861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D3548B3-897E-4FCC-97CA-91840CA8D145}" cache="Slicer_Year" caption="Year" rowHeight="209550"/>
  <slicer name="Region" xr10:uid="{49A3FA88-EF60-4D00-9B63-11AEB9E967D4}" cache="Slicer_Region" caption="Region"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9AD0FC5-E543-44B4-A67A-1912DA1B134F}" cache="Slicer_Year1" caption="Year"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9C378A8-6FCA-4960-98BD-16E2880B539E}" name="Table7" displayName="Table7" ref="A1:H91">
  <autoFilter ref="A1:H91" xr:uid="{F9C378A8-6FCA-4960-98BD-16E2880B539E}"/>
  <tableColumns count="8">
    <tableColumn id="1" xr3:uid="{445DA90F-3FEA-4490-A775-EA03FAC47D8F}" name="Year" totalsRowLabel="Total"/>
    <tableColumn id="2" xr3:uid="{413B831B-8B50-478C-B964-0AC77EBE051B}" name="Month"/>
    <tableColumn id="3" xr3:uid="{7920DF47-65EC-4998-91DF-15FA3A300818}" name="Type"/>
    <tableColumn id="4" xr3:uid="{84B014F4-9F51-49B4-9F0D-439E88CD1D8B}" name="Salesperson"/>
    <tableColumn id="5" xr3:uid="{97CDCA3A-ACA2-4E00-B63F-7D7FB7960252}" name="Region"/>
    <tableColumn id="6" xr3:uid="{8C47AB70-64F8-4E15-9621-B2F1D25561EA}" name="Sales"/>
    <tableColumn id="7" xr3:uid="{93F2B778-9B2D-4CB7-B893-7ECC20944E4D}" name="Units"/>
    <tableColumn id="8" xr3:uid="{ECEF1FF3-9261-4E7C-879A-C2BD9DBEA5F0}" name="Order #" totalsRowFunction="count"/>
  </tableColumns>
  <tableStyleInfo name="TableStyleMedium9"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1EF63D-F1D1-406E-8063-4BFC76C32C35}" name="YearlySales" displayName="YearlySales" ref="A4:H448" totalsRowShown="0" headerRowDxfId="3" headerRowBorderDxfId="2" headerRowCellStyle="Normal_EXCEL3-2">
  <autoFilter ref="A4:H448" xr:uid="{FC1EF63D-F1D1-406E-8063-4BFC76C32C35}"/>
  <tableColumns count="8">
    <tableColumn id="1" xr3:uid="{DF74C217-B1D9-4A7E-82D8-398AB8501CFD}" name="Year" dataCellStyle="Normal_EXCEL3-2"/>
    <tableColumn id="2" xr3:uid="{5C6F4EDB-01F4-4F43-B11D-1E57C205F5EE}" name="Month" dataCellStyle="Normal_EXCEL3-2"/>
    <tableColumn id="3" xr3:uid="{12CAE099-E7E8-44C4-8FDD-DFAA82EBFC71}" name="Type" dataCellStyle="Normal_EXCEL3-2"/>
    <tableColumn id="4" xr3:uid="{E54777AA-BDEB-4018-9996-3B4D05CE5D04}" name="Salesperson" dataCellStyle="Normal_EXCEL3-2"/>
    <tableColumn id="5" xr3:uid="{E3E0559D-D459-4B05-8708-8D137802F547}" name="Region" dataDxfId="1" dataCellStyle="Normal_EXCEL3-2"/>
    <tableColumn id="6" xr3:uid="{78BA4802-85E9-410E-9ABD-778A1873EB5A}" name="Sales" dataCellStyle="Currency_EXCEL3-2">
      <calculatedColumnFormula>G5*1.4</calculatedColumnFormula>
    </tableColumn>
    <tableColumn id="7" xr3:uid="{52D5A46C-AD7A-4177-83D8-FA5438629560}" name="Units" dataCellStyle="Normal_EXCEL3-2"/>
    <tableColumn id="8" xr3:uid="{AF5E01B6-02E1-4301-B93D-01F386311A62}" name="Order #" dataDxfId="0" dataCellStyle="Normal_EXCEL3-2"/>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F43"/>
  <sheetViews>
    <sheetView workbookViewId="0">
      <selection activeCell="I19" sqref="I19"/>
    </sheetView>
  </sheetViews>
  <sheetFormatPr defaultColWidth="9.109375" defaultRowHeight="13.2" x14ac:dyDescent="0.25"/>
  <cols>
    <col min="1" max="1" width="15.33203125" style="2" customWidth="1"/>
    <col min="2" max="2" width="23.5546875" style="2" customWidth="1"/>
    <col min="3" max="3" width="9.109375" style="2"/>
    <col min="4" max="4" width="10.44140625" style="2" customWidth="1"/>
    <col min="5" max="5" width="11.33203125" style="2" customWidth="1"/>
    <col min="6" max="6" width="15.33203125" style="2" customWidth="1"/>
    <col min="7" max="16384" width="9.109375" style="2"/>
  </cols>
  <sheetData>
    <row r="1" spans="1:6" ht="13.8" thickBot="1" x14ac:dyDescent="0.3">
      <c r="A1" s="16" t="s">
        <v>0</v>
      </c>
      <c r="B1" s="16" t="s">
        <v>1</v>
      </c>
      <c r="C1" s="16" t="s">
        <v>2</v>
      </c>
      <c r="D1" s="16" t="s">
        <v>3</v>
      </c>
      <c r="E1" s="16" t="s">
        <v>4</v>
      </c>
      <c r="F1" s="1"/>
    </row>
    <row r="2" spans="1:6" x14ac:dyDescent="0.25">
      <c r="A2" s="3" t="s">
        <v>5</v>
      </c>
      <c r="B2" s="2" t="s">
        <v>6</v>
      </c>
      <c r="C2" s="2">
        <v>99</v>
      </c>
      <c r="D2" s="4">
        <v>10</v>
      </c>
      <c r="E2" s="5">
        <f t="shared" ref="E2:E43" si="0">C2*D2</f>
        <v>990</v>
      </c>
      <c r="F2" s="6"/>
    </row>
    <row r="3" spans="1:6" x14ac:dyDescent="0.25">
      <c r="A3" s="3" t="s">
        <v>5</v>
      </c>
      <c r="B3" s="2" t="s">
        <v>7</v>
      </c>
      <c r="C3" s="2">
        <v>61</v>
      </c>
      <c r="D3" s="4">
        <v>13</v>
      </c>
      <c r="E3" s="5">
        <f t="shared" si="0"/>
        <v>793</v>
      </c>
      <c r="F3" s="6"/>
    </row>
    <row r="4" spans="1:6" x14ac:dyDescent="0.25">
      <c r="A4" s="3" t="s">
        <v>5</v>
      </c>
      <c r="B4" s="7" t="s">
        <v>8</v>
      </c>
      <c r="C4" s="2">
        <v>28</v>
      </c>
      <c r="D4" s="4">
        <v>13.5</v>
      </c>
      <c r="E4" s="5">
        <f t="shared" si="0"/>
        <v>378</v>
      </c>
      <c r="F4" s="6"/>
    </row>
    <row r="5" spans="1:6" x14ac:dyDescent="0.25">
      <c r="A5" s="3" t="s">
        <v>5</v>
      </c>
      <c r="B5" s="2" t="s">
        <v>9</v>
      </c>
      <c r="C5" s="2">
        <v>75</v>
      </c>
      <c r="D5" s="4">
        <v>11.2</v>
      </c>
      <c r="E5" s="5">
        <f t="shared" si="0"/>
        <v>840</v>
      </c>
      <c r="F5" s="6"/>
    </row>
    <row r="6" spans="1:6" x14ac:dyDescent="0.25">
      <c r="A6" s="3" t="s">
        <v>5</v>
      </c>
      <c r="B6" s="2" t="s">
        <v>9</v>
      </c>
      <c r="C6" s="2">
        <v>80</v>
      </c>
      <c r="D6" s="4">
        <v>11.2</v>
      </c>
      <c r="E6" s="5">
        <f t="shared" si="0"/>
        <v>896</v>
      </c>
      <c r="F6" s="6"/>
    </row>
    <row r="7" spans="1:6" x14ac:dyDescent="0.25">
      <c r="A7" s="3" t="s">
        <v>5</v>
      </c>
      <c r="B7" s="2" t="s">
        <v>9</v>
      </c>
      <c r="C7" s="2">
        <v>80</v>
      </c>
      <c r="D7" s="4">
        <v>11.2</v>
      </c>
      <c r="E7" s="5">
        <f t="shared" si="0"/>
        <v>896</v>
      </c>
      <c r="F7" s="6"/>
    </row>
    <row r="8" spans="1:6" x14ac:dyDescent="0.25">
      <c r="A8" s="7" t="s">
        <v>10</v>
      </c>
      <c r="B8" s="2" t="s">
        <v>6</v>
      </c>
      <c r="C8" s="2">
        <v>75</v>
      </c>
      <c r="D8" s="4">
        <v>11</v>
      </c>
      <c r="E8" s="5">
        <f t="shared" si="0"/>
        <v>825</v>
      </c>
      <c r="F8" s="6"/>
    </row>
    <row r="9" spans="1:6" x14ac:dyDescent="0.25">
      <c r="A9" s="7" t="s">
        <v>10</v>
      </c>
      <c r="B9" s="2" t="s">
        <v>7</v>
      </c>
      <c r="C9" s="2">
        <v>75</v>
      </c>
      <c r="D9" s="4">
        <v>12.65</v>
      </c>
      <c r="E9" s="5">
        <f t="shared" si="0"/>
        <v>948.75</v>
      </c>
      <c r="F9" s="6"/>
    </row>
    <row r="10" spans="1:6" x14ac:dyDescent="0.25">
      <c r="A10" s="7" t="s">
        <v>10</v>
      </c>
      <c r="B10" s="2" t="s">
        <v>7</v>
      </c>
      <c r="C10" s="2">
        <v>68</v>
      </c>
      <c r="D10" s="4">
        <v>12.65</v>
      </c>
      <c r="E10" s="5">
        <f t="shared" si="0"/>
        <v>860.2</v>
      </c>
      <c r="F10" s="6"/>
    </row>
    <row r="11" spans="1:6" x14ac:dyDescent="0.25">
      <c r="A11" s="7" t="s">
        <v>10</v>
      </c>
      <c r="B11" s="7" t="s">
        <v>8</v>
      </c>
      <c r="C11" s="2">
        <v>86</v>
      </c>
      <c r="D11" s="4">
        <v>10</v>
      </c>
      <c r="E11" s="5">
        <f t="shared" si="0"/>
        <v>860</v>
      </c>
      <c r="F11" s="6"/>
    </row>
    <row r="12" spans="1:6" x14ac:dyDescent="0.25">
      <c r="A12" s="7" t="s">
        <v>10</v>
      </c>
      <c r="B12" s="2" t="s">
        <v>9</v>
      </c>
      <c r="C12" s="2">
        <v>55</v>
      </c>
      <c r="D12" s="4">
        <v>12.55</v>
      </c>
      <c r="E12" s="5">
        <f t="shared" si="0"/>
        <v>690.25</v>
      </c>
      <c r="F12" s="6"/>
    </row>
    <row r="13" spans="1:6" x14ac:dyDescent="0.25">
      <c r="A13" s="7" t="s">
        <v>10</v>
      </c>
      <c r="B13" s="2" t="s">
        <v>9</v>
      </c>
      <c r="C13" s="2">
        <v>65</v>
      </c>
      <c r="D13" s="4">
        <v>12.55</v>
      </c>
      <c r="E13" s="5">
        <f t="shared" si="0"/>
        <v>815.75</v>
      </c>
      <c r="F13" s="6"/>
    </row>
    <row r="14" spans="1:6" x14ac:dyDescent="0.25">
      <c r="A14" s="7" t="s">
        <v>11</v>
      </c>
      <c r="B14" s="2" t="s">
        <v>6</v>
      </c>
      <c r="C14" s="2">
        <v>95</v>
      </c>
      <c r="D14" s="4">
        <v>10.55</v>
      </c>
      <c r="E14" s="5">
        <f t="shared" si="0"/>
        <v>1002.2500000000001</v>
      </c>
      <c r="F14" s="6"/>
    </row>
    <row r="15" spans="1:6" x14ac:dyDescent="0.25">
      <c r="A15" s="7" t="s">
        <v>11</v>
      </c>
      <c r="B15" s="2" t="s">
        <v>7</v>
      </c>
      <c r="C15" s="2">
        <v>95</v>
      </c>
      <c r="D15" s="4">
        <v>10.55</v>
      </c>
      <c r="E15" s="5">
        <f t="shared" si="0"/>
        <v>1002.2500000000001</v>
      </c>
      <c r="F15" s="6"/>
    </row>
    <row r="16" spans="1:6" x14ac:dyDescent="0.25">
      <c r="A16" s="7" t="s">
        <v>11</v>
      </c>
      <c r="B16" s="7" t="s">
        <v>8</v>
      </c>
      <c r="C16" s="2">
        <v>90</v>
      </c>
      <c r="D16" s="4">
        <v>10.9</v>
      </c>
      <c r="E16" s="5">
        <f t="shared" si="0"/>
        <v>981</v>
      </c>
      <c r="F16" s="6"/>
    </row>
    <row r="17" spans="1:6" x14ac:dyDescent="0.25">
      <c r="A17" s="7" t="s">
        <v>11</v>
      </c>
      <c r="B17" s="7" t="s">
        <v>8</v>
      </c>
      <c r="C17" s="2">
        <v>110</v>
      </c>
      <c r="D17" s="4">
        <v>10.9</v>
      </c>
      <c r="E17" s="5">
        <f t="shared" si="0"/>
        <v>1199</v>
      </c>
      <c r="F17" s="6"/>
    </row>
    <row r="18" spans="1:6" x14ac:dyDescent="0.25">
      <c r="A18" s="7" t="s">
        <v>11</v>
      </c>
      <c r="B18" s="2" t="s">
        <v>9</v>
      </c>
      <c r="C18" s="2">
        <v>95</v>
      </c>
      <c r="D18" s="4">
        <v>10.55</v>
      </c>
      <c r="E18" s="5">
        <f t="shared" si="0"/>
        <v>1002.2500000000001</v>
      </c>
      <c r="F18" s="6"/>
    </row>
    <row r="19" spans="1:6" x14ac:dyDescent="0.25">
      <c r="A19" s="7" t="s">
        <v>12</v>
      </c>
      <c r="B19" s="2" t="s">
        <v>6</v>
      </c>
      <c r="C19" s="2">
        <v>52</v>
      </c>
      <c r="D19" s="4">
        <v>12</v>
      </c>
      <c r="E19" s="5">
        <f t="shared" si="0"/>
        <v>624</v>
      </c>
      <c r="F19" s="6"/>
    </row>
    <row r="20" spans="1:6" x14ac:dyDescent="0.25">
      <c r="A20" s="7" t="s">
        <v>12</v>
      </c>
      <c r="B20" s="2" t="s">
        <v>7</v>
      </c>
      <c r="C20" s="2">
        <v>85</v>
      </c>
      <c r="D20" s="4">
        <v>11</v>
      </c>
      <c r="E20" s="5">
        <f t="shared" si="0"/>
        <v>935</v>
      </c>
      <c r="F20" s="6"/>
    </row>
    <row r="21" spans="1:6" x14ac:dyDescent="0.25">
      <c r="A21" s="7" t="s">
        <v>12</v>
      </c>
      <c r="B21" s="7" t="s">
        <v>8</v>
      </c>
      <c r="C21" s="2">
        <v>92</v>
      </c>
      <c r="D21" s="4">
        <v>11.5</v>
      </c>
      <c r="E21" s="5">
        <f t="shared" si="0"/>
        <v>1058</v>
      </c>
      <c r="F21" s="6"/>
    </row>
    <row r="22" spans="1:6" x14ac:dyDescent="0.25">
      <c r="A22" s="7" t="s">
        <v>12</v>
      </c>
      <c r="B22" s="7" t="s">
        <v>8</v>
      </c>
      <c r="C22" s="2">
        <v>95</v>
      </c>
      <c r="D22" s="4">
        <v>10.55</v>
      </c>
      <c r="E22" s="5">
        <f t="shared" si="0"/>
        <v>1002.2500000000001</v>
      </c>
      <c r="F22" s="6"/>
    </row>
    <row r="23" spans="1:6" x14ac:dyDescent="0.25">
      <c r="A23" s="7" t="s">
        <v>12</v>
      </c>
      <c r="B23" s="7" t="s">
        <v>8</v>
      </c>
      <c r="C23" s="2">
        <v>90</v>
      </c>
      <c r="D23" s="4">
        <v>10.55</v>
      </c>
      <c r="E23" s="5">
        <f t="shared" si="0"/>
        <v>949.50000000000011</v>
      </c>
      <c r="F23" s="6"/>
    </row>
    <row r="24" spans="1:6" x14ac:dyDescent="0.25">
      <c r="A24" s="7" t="s">
        <v>12</v>
      </c>
      <c r="B24" s="2" t="s">
        <v>9</v>
      </c>
      <c r="C24" s="2">
        <v>62</v>
      </c>
      <c r="D24" s="4">
        <v>11</v>
      </c>
      <c r="E24" s="5">
        <f t="shared" si="0"/>
        <v>682</v>
      </c>
      <c r="F24" s="6"/>
    </row>
    <row r="25" spans="1:6" x14ac:dyDescent="0.25">
      <c r="A25" s="3" t="s">
        <v>13</v>
      </c>
      <c r="B25" s="2" t="s">
        <v>6</v>
      </c>
      <c r="C25" s="2">
        <v>57</v>
      </c>
      <c r="D25" s="4">
        <v>12.55</v>
      </c>
      <c r="E25" s="5">
        <f t="shared" si="0"/>
        <v>715.35</v>
      </c>
      <c r="F25" s="6"/>
    </row>
    <row r="26" spans="1:6" x14ac:dyDescent="0.25">
      <c r="A26" s="3" t="s">
        <v>13</v>
      </c>
      <c r="B26" s="2" t="s">
        <v>7</v>
      </c>
      <c r="C26" s="2">
        <v>80</v>
      </c>
      <c r="D26" s="4">
        <v>11</v>
      </c>
      <c r="E26" s="5">
        <f t="shared" si="0"/>
        <v>880</v>
      </c>
      <c r="F26" s="6"/>
    </row>
    <row r="27" spans="1:6" x14ac:dyDescent="0.25">
      <c r="A27" s="3" t="s">
        <v>13</v>
      </c>
      <c r="B27" s="2" t="s">
        <v>7</v>
      </c>
      <c r="C27" s="2">
        <v>95</v>
      </c>
      <c r="D27" s="4">
        <v>11</v>
      </c>
      <c r="E27" s="5">
        <f t="shared" si="0"/>
        <v>1045</v>
      </c>
      <c r="F27" s="6"/>
    </row>
    <row r="28" spans="1:6" x14ac:dyDescent="0.25">
      <c r="A28" s="3" t="s">
        <v>13</v>
      </c>
      <c r="B28" s="7" t="s">
        <v>8</v>
      </c>
      <c r="C28" s="2">
        <v>85</v>
      </c>
      <c r="D28" s="4">
        <v>11.5</v>
      </c>
      <c r="E28" s="5">
        <f t="shared" si="0"/>
        <v>977.5</v>
      </c>
      <c r="F28" s="6"/>
    </row>
    <row r="29" spans="1:6" x14ac:dyDescent="0.25">
      <c r="A29" s="3" t="s">
        <v>13</v>
      </c>
      <c r="B29" s="2" t="s">
        <v>9</v>
      </c>
      <c r="C29" s="2">
        <v>80</v>
      </c>
      <c r="D29" s="4">
        <v>11</v>
      </c>
      <c r="E29" s="5">
        <f t="shared" si="0"/>
        <v>880</v>
      </c>
      <c r="F29" s="6"/>
    </row>
    <row r="30" spans="1:6" x14ac:dyDescent="0.25">
      <c r="A30" s="3" t="s">
        <v>13</v>
      </c>
      <c r="B30" s="2" t="s">
        <v>9</v>
      </c>
      <c r="C30" s="2">
        <v>95</v>
      </c>
      <c r="D30" s="4">
        <v>11</v>
      </c>
      <c r="E30" s="5">
        <f t="shared" si="0"/>
        <v>1045</v>
      </c>
      <c r="F30" s="6"/>
    </row>
    <row r="31" spans="1:6" x14ac:dyDescent="0.25">
      <c r="A31" s="7" t="s">
        <v>14</v>
      </c>
      <c r="B31" s="2" t="s">
        <v>6</v>
      </c>
      <c r="C31" s="2">
        <v>70</v>
      </c>
      <c r="D31" s="4">
        <v>11</v>
      </c>
      <c r="E31" s="5">
        <f t="shared" si="0"/>
        <v>770</v>
      </c>
      <c r="F31" s="6"/>
    </row>
    <row r="32" spans="1:6" x14ac:dyDescent="0.25">
      <c r="A32" s="7" t="s">
        <v>14</v>
      </c>
      <c r="B32" s="2" t="s">
        <v>7</v>
      </c>
      <c r="C32" s="2">
        <v>23</v>
      </c>
      <c r="D32" s="4">
        <v>16</v>
      </c>
      <c r="E32" s="5">
        <f t="shared" si="0"/>
        <v>368</v>
      </c>
      <c r="F32" s="6"/>
    </row>
    <row r="33" spans="1:6" x14ac:dyDescent="0.25">
      <c r="A33" s="7" t="s">
        <v>14</v>
      </c>
      <c r="B33" s="7" t="s">
        <v>8</v>
      </c>
      <c r="C33" s="2">
        <v>52</v>
      </c>
      <c r="D33" s="4">
        <v>13.6</v>
      </c>
      <c r="E33" s="5">
        <f t="shared" si="0"/>
        <v>707.19999999999993</v>
      </c>
      <c r="F33" s="6"/>
    </row>
    <row r="34" spans="1:6" x14ac:dyDescent="0.25">
      <c r="A34" s="7" t="s">
        <v>14</v>
      </c>
      <c r="B34" s="2" t="s">
        <v>9</v>
      </c>
      <c r="C34" s="2">
        <v>60</v>
      </c>
      <c r="D34" s="4">
        <v>12.55</v>
      </c>
      <c r="E34" s="5">
        <f t="shared" si="0"/>
        <v>753</v>
      </c>
      <c r="F34" s="6"/>
    </row>
    <row r="35" spans="1:6" x14ac:dyDescent="0.25">
      <c r="A35" s="7" t="s">
        <v>14</v>
      </c>
      <c r="B35" s="2" t="s">
        <v>9</v>
      </c>
      <c r="C35" s="2">
        <v>65</v>
      </c>
      <c r="D35" s="4">
        <v>12.55</v>
      </c>
      <c r="E35" s="5">
        <f t="shared" si="0"/>
        <v>815.75</v>
      </c>
      <c r="F35" s="6"/>
    </row>
    <row r="36" spans="1:6" x14ac:dyDescent="0.25">
      <c r="A36" s="7" t="s">
        <v>14</v>
      </c>
      <c r="B36" s="2" t="s">
        <v>9</v>
      </c>
      <c r="C36" s="2">
        <v>56</v>
      </c>
      <c r="D36" s="4">
        <v>12.55</v>
      </c>
      <c r="E36" s="5">
        <f t="shared" si="0"/>
        <v>702.80000000000007</v>
      </c>
      <c r="F36" s="6"/>
    </row>
    <row r="37" spans="1:6" x14ac:dyDescent="0.25">
      <c r="A37" s="7" t="s">
        <v>14</v>
      </c>
      <c r="B37" s="2" t="s">
        <v>9</v>
      </c>
      <c r="C37" s="2">
        <v>68</v>
      </c>
      <c r="D37" s="4">
        <v>12.55</v>
      </c>
      <c r="E37" s="5">
        <f t="shared" si="0"/>
        <v>853.40000000000009</v>
      </c>
      <c r="F37" s="6"/>
    </row>
    <row r="38" spans="1:6" x14ac:dyDescent="0.25">
      <c r="A38" s="2" t="s">
        <v>15</v>
      </c>
      <c r="B38" s="2" t="s">
        <v>6</v>
      </c>
      <c r="C38" s="2">
        <v>73</v>
      </c>
      <c r="D38" s="4">
        <v>11.6</v>
      </c>
      <c r="E38" s="5">
        <f t="shared" si="0"/>
        <v>846.8</v>
      </c>
      <c r="F38" s="6"/>
    </row>
    <row r="39" spans="1:6" x14ac:dyDescent="0.25">
      <c r="A39" s="2" t="s">
        <v>15</v>
      </c>
      <c r="B39" s="2" t="s">
        <v>7</v>
      </c>
      <c r="C39" s="2">
        <v>100</v>
      </c>
      <c r="D39" s="4">
        <v>9.99</v>
      </c>
      <c r="E39" s="5">
        <f t="shared" si="0"/>
        <v>999</v>
      </c>
      <c r="F39" s="6"/>
    </row>
    <row r="40" spans="1:6" x14ac:dyDescent="0.25">
      <c r="A40" s="2" t="s">
        <v>15</v>
      </c>
      <c r="B40" s="7" t="s">
        <v>8</v>
      </c>
      <c r="C40" s="2">
        <v>81</v>
      </c>
      <c r="D40" s="4">
        <v>10</v>
      </c>
      <c r="E40" s="5">
        <f t="shared" si="0"/>
        <v>810</v>
      </c>
      <c r="F40" s="6"/>
    </row>
    <row r="41" spans="1:6" x14ac:dyDescent="0.25">
      <c r="A41" s="2" t="s">
        <v>15</v>
      </c>
      <c r="B41" s="2" t="s">
        <v>9</v>
      </c>
      <c r="C41" s="2">
        <v>110</v>
      </c>
      <c r="D41" s="4">
        <v>9.99</v>
      </c>
      <c r="E41" s="5">
        <f t="shared" si="0"/>
        <v>1098.9000000000001</v>
      </c>
      <c r="F41" s="6"/>
    </row>
    <row r="42" spans="1:6" x14ac:dyDescent="0.25">
      <c r="A42" s="2" t="s">
        <v>15</v>
      </c>
      <c r="B42" s="2" t="s">
        <v>9</v>
      </c>
      <c r="C42" s="2">
        <v>65</v>
      </c>
      <c r="D42" s="4">
        <v>9.99</v>
      </c>
      <c r="E42" s="5">
        <f t="shared" si="0"/>
        <v>649.35</v>
      </c>
      <c r="F42" s="6"/>
    </row>
    <row r="43" spans="1:6" x14ac:dyDescent="0.25">
      <c r="A43" s="2" t="s">
        <v>15</v>
      </c>
      <c r="B43" s="2" t="s">
        <v>9</v>
      </c>
      <c r="C43" s="2">
        <v>90</v>
      </c>
      <c r="D43" s="4">
        <v>9.99</v>
      </c>
      <c r="E43" s="5">
        <f t="shared" si="0"/>
        <v>899.1</v>
      </c>
      <c r="F43" s="6"/>
    </row>
  </sheetData>
  <phoneticPr fontId="0" type="noConversion"/>
  <printOptions gridLines="1" gridLinesSet="0"/>
  <pageMargins left="0.75" right="0.75" top="1" bottom="1" header="0.5" footer="0.5"/>
  <pageSetup orientation="portrait" horizontalDpi="0" verticalDpi="0" copies="0" r:id="rId1"/>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F9DEC-B9E1-41DA-9D45-E107D0D6228D}">
  <dimension ref="A1:H91"/>
  <sheetViews>
    <sheetView workbookViewId="0">
      <selection activeCell="I38" sqref="I38"/>
    </sheetView>
  </sheetViews>
  <sheetFormatPr defaultRowHeight="13.2" x14ac:dyDescent="0.25"/>
  <cols>
    <col min="4" max="4" width="13.6640625" customWidth="1"/>
    <col min="5" max="5" width="9" customWidth="1"/>
    <col min="8" max="8" width="9.5546875" customWidth="1"/>
  </cols>
  <sheetData>
    <row r="1" spans="1:8" x14ac:dyDescent="0.25">
      <c r="A1" t="s">
        <v>17</v>
      </c>
      <c r="B1" t="s">
        <v>16</v>
      </c>
      <c r="C1" t="s">
        <v>29</v>
      </c>
      <c r="D1" t="s">
        <v>0</v>
      </c>
      <c r="E1" t="s">
        <v>25</v>
      </c>
      <c r="F1" t="s">
        <v>4</v>
      </c>
      <c r="G1" t="s">
        <v>2</v>
      </c>
      <c r="H1" t="s">
        <v>41</v>
      </c>
    </row>
    <row r="2" spans="1:8" x14ac:dyDescent="0.25">
      <c r="A2">
        <v>2015</v>
      </c>
      <c r="B2" t="s">
        <v>18</v>
      </c>
      <c r="C2" t="s">
        <v>31</v>
      </c>
      <c r="D2" t="s">
        <v>34</v>
      </c>
      <c r="E2" t="s">
        <v>35</v>
      </c>
      <c r="F2">
        <v>1909.6</v>
      </c>
      <c r="G2">
        <v>1364</v>
      </c>
      <c r="H2" t="s">
        <v>425</v>
      </c>
    </row>
    <row r="3" spans="1:8" x14ac:dyDescent="0.25">
      <c r="A3">
        <v>2015</v>
      </c>
      <c r="B3" t="s">
        <v>18</v>
      </c>
      <c r="C3" t="s">
        <v>24</v>
      </c>
      <c r="D3" t="s">
        <v>34</v>
      </c>
      <c r="E3" t="s">
        <v>35</v>
      </c>
      <c r="F3">
        <v>6561.7999999999993</v>
      </c>
      <c r="G3">
        <v>4687</v>
      </c>
      <c r="H3" t="s">
        <v>424</v>
      </c>
    </row>
    <row r="4" spans="1:8" x14ac:dyDescent="0.25">
      <c r="A4">
        <v>2015</v>
      </c>
      <c r="B4" t="s">
        <v>18</v>
      </c>
      <c r="C4" t="s">
        <v>31</v>
      </c>
      <c r="D4" t="s">
        <v>34</v>
      </c>
      <c r="E4" t="s">
        <v>35</v>
      </c>
      <c r="F4">
        <v>1909.6</v>
      </c>
      <c r="G4">
        <v>1364</v>
      </c>
      <c r="H4" t="s">
        <v>423</v>
      </c>
    </row>
    <row r="5" spans="1:8" x14ac:dyDescent="0.25">
      <c r="A5">
        <v>2015</v>
      </c>
      <c r="B5" t="s">
        <v>18</v>
      </c>
      <c r="C5" t="s">
        <v>24</v>
      </c>
      <c r="D5" t="s">
        <v>34</v>
      </c>
      <c r="E5" t="s">
        <v>35</v>
      </c>
      <c r="F5">
        <v>6561.7999999999993</v>
      </c>
      <c r="G5">
        <v>4687</v>
      </c>
      <c r="H5" t="s">
        <v>422</v>
      </c>
    </row>
    <row r="6" spans="1:8" x14ac:dyDescent="0.25">
      <c r="A6">
        <v>2015</v>
      </c>
      <c r="B6" t="s">
        <v>18</v>
      </c>
      <c r="C6" t="s">
        <v>24</v>
      </c>
      <c r="D6" t="s">
        <v>32</v>
      </c>
      <c r="E6" t="s">
        <v>28</v>
      </c>
      <c r="F6">
        <v>11180.4</v>
      </c>
      <c r="G6">
        <v>7986</v>
      </c>
      <c r="H6" t="s">
        <v>421</v>
      </c>
    </row>
    <row r="7" spans="1:8" x14ac:dyDescent="0.25">
      <c r="A7">
        <v>2015</v>
      </c>
      <c r="B7" t="s">
        <v>18</v>
      </c>
      <c r="C7" t="s">
        <v>24</v>
      </c>
      <c r="D7" t="s">
        <v>32</v>
      </c>
      <c r="E7" t="s">
        <v>28</v>
      </c>
      <c r="F7">
        <v>11048.8</v>
      </c>
      <c r="G7">
        <v>7892</v>
      </c>
      <c r="H7" t="s">
        <v>420</v>
      </c>
    </row>
    <row r="8" spans="1:8" x14ac:dyDescent="0.25">
      <c r="A8">
        <v>2015</v>
      </c>
      <c r="B8" t="s">
        <v>18</v>
      </c>
      <c r="C8" t="s">
        <v>24</v>
      </c>
      <c r="D8" t="s">
        <v>32</v>
      </c>
      <c r="E8" t="s">
        <v>28</v>
      </c>
      <c r="F8">
        <v>11180.4</v>
      </c>
      <c r="G8">
        <v>7986</v>
      </c>
      <c r="H8" t="s">
        <v>419</v>
      </c>
    </row>
    <row r="9" spans="1:8" x14ac:dyDescent="0.25">
      <c r="A9">
        <v>2015</v>
      </c>
      <c r="B9" t="s">
        <v>18</v>
      </c>
      <c r="C9" t="s">
        <v>24</v>
      </c>
      <c r="D9" t="s">
        <v>32</v>
      </c>
      <c r="E9" t="s">
        <v>28</v>
      </c>
      <c r="F9">
        <v>11048.8</v>
      </c>
      <c r="G9">
        <v>7892</v>
      </c>
      <c r="H9" t="s">
        <v>418</v>
      </c>
    </row>
    <row r="10" spans="1:8" x14ac:dyDescent="0.25">
      <c r="A10">
        <v>2015</v>
      </c>
      <c r="B10" t="s">
        <v>18</v>
      </c>
      <c r="C10" t="s">
        <v>36</v>
      </c>
      <c r="D10" t="s">
        <v>39</v>
      </c>
      <c r="E10" t="s">
        <v>26</v>
      </c>
      <c r="F10">
        <v>2209.1999999999998</v>
      </c>
      <c r="G10">
        <v>1578</v>
      </c>
      <c r="H10" t="s">
        <v>417</v>
      </c>
    </row>
    <row r="11" spans="1:8" x14ac:dyDescent="0.25">
      <c r="A11">
        <v>2015</v>
      </c>
      <c r="B11" t="s">
        <v>18</v>
      </c>
      <c r="C11" t="s">
        <v>33</v>
      </c>
      <c r="D11" t="s">
        <v>39</v>
      </c>
      <c r="E11" t="s">
        <v>26</v>
      </c>
      <c r="F11">
        <v>13644.4</v>
      </c>
      <c r="G11">
        <v>9746</v>
      </c>
      <c r="H11" t="s">
        <v>416</v>
      </c>
    </row>
    <row r="12" spans="1:8" x14ac:dyDescent="0.25">
      <c r="A12">
        <v>2015</v>
      </c>
      <c r="B12" t="s">
        <v>18</v>
      </c>
      <c r="C12" t="s">
        <v>24</v>
      </c>
      <c r="D12" t="s">
        <v>39</v>
      </c>
      <c r="E12" t="s">
        <v>26</v>
      </c>
      <c r="F12">
        <v>12532.8</v>
      </c>
      <c r="G12">
        <v>8952</v>
      </c>
      <c r="H12" t="s">
        <v>415</v>
      </c>
    </row>
    <row r="13" spans="1:8" x14ac:dyDescent="0.25">
      <c r="A13">
        <v>2015</v>
      </c>
      <c r="B13" t="s">
        <v>18</v>
      </c>
      <c r="C13" t="s">
        <v>33</v>
      </c>
      <c r="D13" t="s">
        <v>39</v>
      </c>
      <c r="E13" t="s">
        <v>26</v>
      </c>
      <c r="F13">
        <v>10381</v>
      </c>
      <c r="G13">
        <v>7415</v>
      </c>
      <c r="H13" t="s">
        <v>414</v>
      </c>
    </row>
    <row r="14" spans="1:8" x14ac:dyDescent="0.25">
      <c r="A14">
        <v>2015</v>
      </c>
      <c r="B14" t="s">
        <v>18</v>
      </c>
      <c r="C14" t="s">
        <v>33</v>
      </c>
      <c r="D14" t="s">
        <v>39</v>
      </c>
      <c r="E14" t="s">
        <v>26</v>
      </c>
      <c r="F14">
        <v>8206.7999999999993</v>
      </c>
      <c r="G14">
        <v>5862</v>
      </c>
      <c r="H14" t="s">
        <v>413</v>
      </c>
    </row>
    <row r="15" spans="1:8" x14ac:dyDescent="0.25">
      <c r="A15">
        <v>2015</v>
      </c>
      <c r="B15" t="s">
        <v>18</v>
      </c>
      <c r="C15" t="s">
        <v>36</v>
      </c>
      <c r="D15" t="s">
        <v>39</v>
      </c>
      <c r="E15" t="s">
        <v>26</v>
      </c>
      <c r="F15">
        <v>2209.1999999999998</v>
      </c>
      <c r="G15">
        <v>1578</v>
      </c>
      <c r="H15" t="s">
        <v>412</v>
      </c>
    </row>
    <row r="16" spans="1:8" x14ac:dyDescent="0.25">
      <c r="A16">
        <v>2015</v>
      </c>
      <c r="B16" t="s">
        <v>18</v>
      </c>
      <c r="C16" t="s">
        <v>33</v>
      </c>
      <c r="D16" t="s">
        <v>39</v>
      </c>
      <c r="E16" t="s">
        <v>26</v>
      </c>
      <c r="F16">
        <v>13644.4</v>
      </c>
      <c r="G16">
        <v>9746</v>
      </c>
      <c r="H16" t="s">
        <v>411</v>
      </c>
    </row>
    <row r="17" spans="1:8" x14ac:dyDescent="0.25">
      <c r="A17">
        <v>2015</v>
      </c>
      <c r="B17" t="s">
        <v>18</v>
      </c>
      <c r="C17" t="s">
        <v>24</v>
      </c>
      <c r="D17" t="s">
        <v>39</v>
      </c>
      <c r="E17" t="s">
        <v>26</v>
      </c>
      <c r="F17">
        <v>12532.8</v>
      </c>
      <c r="G17">
        <v>8952</v>
      </c>
      <c r="H17" t="s">
        <v>410</v>
      </c>
    </row>
    <row r="18" spans="1:8" x14ac:dyDescent="0.25">
      <c r="A18">
        <v>2015</v>
      </c>
      <c r="B18" t="s">
        <v>18</v>
      </c>
      <c r="C18" t="s">
        <v>33</v>
      </c>
      <c r="D18" t="s">
        <v>39</v>
      </c>
      <c r="E18" t="s">
        <v>26</v>
      </c>
      <c r="F18">
        <v>10381</v>
      </c>
      <c r="G18">
        <v>7415</v>
      </c>
      <c r="H18" t="s">
        <v>409</v>
      </c>
    </row>
    <row r="19" spans="1:8" x14ac:dyDescent="0.25">
      <c r="A19">
        <v>2015</v>
      </c>
      <c r="B19" t="s">
        <v>18</v>
      </c>
      <c r="C19" t="s">
        <v>33</v>
      </c>
      <c r="D19" t="s">
        <v>39</v>
      </c>
      <c r="E19" t="s">
        <v>26</v>
      </c>
      <c r="F19">
        <v>8206.7999999999993</v>
      </c>
      <c r="G19">
        <v>5862</v>
      </c>
      <c r="H19" t="s">
        <v>408</v>
      </c>
    </row>
    <row r="20" spans="1:8" x14ac:dyDescent="0.25">
      <c r="A20">
        <v>2015</v>
      </c>
      <c r="B20" t="s">
        <v>18</v>
      </c>
      <c r="C20" t="s">
        <v>31</v>
      </c>
      <c r="D20" t="s">
        <v>38</v>
      </c>
      <c r="E20" t="s">
        <v>35</v>
      </c>
      <c r="F20">
        <v>1909.6</v>
      </c>
      <c r="G20">
        <v>1364</v>
      </c>
      <c r="H20" t="s">
        <v>407</v>
      </c>
    </row>
    <row r="21" spans="1:8" x14ac:dyDescent="0.25">
      <c r="A21">
        <v>2015</v>
      </c>
      <c r="B21" t="s">
        <v>18</v>
      </c>
      <c r="C21" t="s">
        <v>24</v>
      </c>
      <c r="D21" t="s">
        <v>38</v>
      </c>
      <c r="E21" t="s">
        <v>35</v>
      </c>
      <c r="F21">
        <v>6561.7999999999993</v>
      </c>
      <c r="G21">
        <v>4687</v>
      </c>
      <c r="H21" t="s">
        <v>406</v>
      </c>
    </row>
    <row r="22" spans="1:8" x14ac:dyDescent="0.25">
      <c r="A22">
        <v>2015</v>
      </c>
      <c r="B22" t="s">
        <v>18</v>
      </c>
      <c r="C22" t="s">
        <v>36</v>
      </c>
      <c r="D22" t="s">
        <v>38</v>
      </c>
      <c r="E22" t="s">
        <v>35</v>
      </c>
      <c r="F22">
        <v>2209.1999999999998</v>
      </c>
      <c r="G22">
        <v>1578</v>
      </c>
      <c r="H22" t="s">
        <v>405</v>
      </c>
    </row>
    <row r="23" spans="1:8" x14ac:dyDescent="0.25">
      <c r="A23">
        <v>2015</v>
      </c>
      <c r="B23" t="s">
        <v>18</v>
      </c>
      <c r="C23" t="s">
        <v>24</v>
      </c>
      <c r="D23" t="s">
        <v>38</v>
      </c>
      <c r="E23" t="s">
        <v>35</v>
      </c>
      <c r="F23">
        <v>11048.8</v>
      </c>
      <c r="G23">
        <v>7892</v>
      </c>
      <c r="H23" t="s">
        <v>404</v>
      </c>
    </row>
    <row r="24" spans="1:8" x14ac:dyDescent="0.25">
      <c r="A24">
        <v>2015</v>
      </c>
      <c r="B24" t="s">
        <v>18</v>
      </c>
      <c r="C24" t="s">
        <v>31</v>
      </c>
      <c r="D24" t="s">
        <v>38</v>
      </c>
      <c r="E24" t="s">
        <v>35</v>
      </c>
      <c r="F24">
        <v>1909.6</v>
      </c>
      <c r="G24">
        <v>1364</v>
      </c>
      <c r="H24" t="s">
        <v>403</v>
      </c>
    </row>
    <row r="25" spans="1:8" x14ac:dyDescent="0.25">
      <c r="A25">
        <v>2015</v>
      </c>
      <c r="B25" t="s">
        <v>18</v>
      </c>
      <c r="C25" t="s">
        <v>24</v>
      </c>
      <c r="D25" t="s">
        <v>38</v>
      </c>
      <c r="E25" t="s">
        <v>35</v>
      </c>
      <c r="F25">
        <v>6561.7999999999993</v>
      </c>
      <c r="G25">
        <v>4687</v>
      </c>
      <c r="H25" t="s">
        <v>402</v>
      </c>
    </row>
    <row r="26" spans="1:8" x14ac:dyDescent="0.25">
      <c r="A26">
        <v>2015</v>
      </c>
      <c r="B26" t="s">
        <v>18</v>
      </c>
      <c r="C26" t="s">
        <v>36</v>
      </c>
      <c r="D26" t="s">
        <v>38</v>
      </c>
      <c r="E26" t="s">
        <v>35</v>
      </c>
      <c r="F26">
        <v>2209.1999999999998</v>
      </c>
      <c r="G26">
        <v>1578</v>
      </c>
      <c r="H26" t="s">
        <v>401</v>
      </c>
    </row>
    <row r="27" spans="1:8" x14ac:dyDescent="0.25">
      <c r="A27">
        <v>2015</v>
      </c>
      <c r="B27" t="s">
        <v>18</v>
      </c>
      <c r="C27" t="s">
        <v>24</v>
      </c>
      <c r="D27" t="s">
        <v>38</v>
      </c>
      <c r="E27" t="s">
        <v>35</v>
      </c>
      <c r="F27">
        <v>11048.8</v>
      </c>
      <c r="G27">
        <v>7892</v>
      </c>
      <c r="H27" t="s">
        <v>400</v>
      </c>
    </row>
    <row r="28" spans="1:8" x14ac:dyDescent="0.25">
      <c r="A28">
        <v>2015</v>
      </c>
      <c r="B28" t="s">
        <v>18</v>
      </c>
      <c r="C28" t="s">
        <v>33</v>
      </c>
      <c r="D28" t="s">
        <v>30</v>
      </c>
      <c r="E28" t="s">
        <v>27</v>
      </c>
      <c r="F28">
        <v>6421.7999999999993</v>
      </c>
      <c r="G28">
        <v>4587</v>
      </c>
      <c r="H28" t="s">
        <v>399</v>
      </c>
    </row>
    <row r="29" spans="1:8" x14ac:dyDescent="0.25">
      <c r="A29">
        <v>2015</v>
      </c>
      <c r="B29" t="s">
        <v>18</v>
      </c>
      <c r="C29" t="s">
        <v>36</v>
      </c>
      <c r="D29" t="s">
        <v>30</v>
      </c>
      <c r="E29" t="s">
        <v>27</v>
      </c>
      <c r="F29">
        <v>2209.1999999999998</v>
      </c>
      <c r="G29">
        <v>1578</v>
      </c>
      <c r="H29" t="s">
        <v>398</v>
      </c>
    </row>
    <row r="30" spans="1:8" x14ac:dyDescent="0.25">
      <c r="A30">
        <v>2015</v>
      </c>
      <c r="B30" t="s">
        <v>18</v>
      </c>
      <c r="C30" t="s">
        <v>33</v>
      </c>
      <c r="D30" t="s">
        <v>30</v>
      </c>
      <c r="E30" t="s">
        <v>27</v>
      </c>
      <c r="F30">
        <v>6421.7999999999993</v>
      </c>
      <c r="G30">
        <v>4587</v>
      </c>
      <c r="H30" t="s">
        <v>397</v>
      </c>
    </row>
    <row r="31" spans="1:8" x14ac:dyDescent="0.25">
      <c r="A31">
        <v>2015</v>
      </c>
      <c r="B31" t="s">
        <v>18</v>
      </c>
      <c r="C31" t="s">
        <v>36</v>
      </c>
      <c r="D31" t="s">
        <v>30</v>
      </c>
      <c r="E31" t="s">
        <v>27</v>
      </c>
      <c r="F31">
        <v>2209.1999999999998</v>
      </c>
      <c r="G31">
        <v>1578</v>
      </c>
      <c r="H31" t="s">
        <v>396</v>
      </c>
    </row>
    <row r="32" spans="1:8" x14ac:dyDescent="0.25">
      <c r="A32">
        <v>2014</v>
      </c>
      <c r="B32" t="s">
        <v>18</v>
      </c>
      <c r="C32" t="s">
        <v>31</v>
      </c>
      <c r="D32" t="s">
        <v>34</v>
      </c>
      <c r="E32" t="s">
        <v>35</v>
      </c>
      <c r="F32">
        <v>2046</v>
      </c>
      <c r="G32">
        <v>1364</v>
      </c>
      <c r="H32" t="s">
        <v>277</v>
      </c>
    </row>
    <row r="33" spans="1:8" x14ac:dyDescent="0.25">
      <c r="A33">
        <v>2014</v>
      </c>
      <c r="B33" t="s">
        <v>18</v>
      </c>
      <c r="C33" t="s">
        <v>24</v>
      </c>
      <c r="D33" t="s">
        <v>34</v>
      </c>
      <c r="E33" t="s">
        <v>35</v>
      </c>
      <c r="F33">
        <v>7030.5</v>
      </c>
      <c r="G33">
        <v>4687</v>
      </c>
      <c r="H33" t="s">
        <v>276</v>
      </c>
    </row>
    <row r="34" spans="1:8" x14ac:dyDescent="0.25">
      <c r="A34">
        <v>2014</v>
      </c>
      <c r="B34" t="s">
        <v>18</v>
      </c>
      <c r="C34" t="s">
        <v>31</v>
      </c>
      <c r="D34" t="s">
        <v>34</v>
      </c>
      <c r="E34" t="s">
        <v>35</v>
      </c>
      <c r="F34">
        <v>2046</v>
      </c>
      <c r="G34">
        <v>1364</v>
      </c>
      <c r="H34" t="s">
        <v>275</v>
      </c>
    </row>
    <row r="35" spans="1:8" x14ac:dyDescent="0.25">
      <c r="A35">
        <v>2014</v>
      </c>
      <c r="B35" t="s">
        <v>18</v>
      </c>
      <c r="C35" t="s">
        <v>24</v>
      </c>
      <c r="D35" t="s">
        <v>34</v>
      </c>
      <c r="E35" t="s">
        <v>35</v>
      </c>
      <c r="F35">
        <v>7030.5</v>
      </c>
      <c r="G35">
        <v>4687</v>
      </c>
      <c r="H35" t="s">
        <v>274</v>
      </c>
    </row>
    <row r="36" spans="1:8" x14ac:dyDescent="0.25">
      <c r="A36">
        <v>2014</v>
      </c>
      <c r="B36" t="s">
        <v>18</v>
      </c>
      <c r="C36" t="s">
        <v>24</v>
      </c>
      <c r="D36" t="s">
        <v>32</v>
      </c>
      <c r="E36" t="s">
        <v>28</v>
      </c>
      <c r="F36">
        <v>11979</v>
      </c>
      <c r="G36">
        <v>7986</v>
      </c>
      <c r="H36" t="s">
        <v>273</v>
      </c>
    </row>
    <row r="37" spans="1:8" x14ac:dyDescent="0.25">
      <c r="A37">
        <v>2014</v>
      </c>
      <c r="B37" t="s">
        <v>18</v>
      </c>
      <c r="C37" t="s">
        <v>24</v>
      </c>
      <c r="D37" t="s">
        <v>32</v>
      </c>
      <c r="E37" t="s">
        <v>28</v>
      </c>
      <c r="F37">
        <v>11838</v>
      </c>
      <c r="G37">
        <v>7892</v>
      </c>
      <c r="H37" t="s">
        <v>272</v>
      </c>
    </row>
    <row r="38" spans="1:8" x14ac:dyDescent="0.25">
      <c r="A38">
        <v>2014</v>
      </c>
      <c r="B38" t="s">
        <v>18</v>
      </c>
      <c r="C38" t="s">
        <v>24</v>
      </c>
      <c r="D38" t="s">
        <v>32</v>
      </c>
      <c r="E38" t="s">
        <v>28</v>
      </c>
      <c r="F38">
        <v>11979</v>
      </c>
      <c r="G38">
        <v>7986</v>
      </c>
      <c r="H38" t="s">
        <v>271</v>
      </c>
    </row>
    <row r="39" spans="1:8" x14ac:dyDescent="0.25">
      <c r="A39">
        <v>2014</v>
      </c>
      <c r="B39" t="s">
        <v>18</v>
      </c>
      <c r="C39" t="s">
        <v>24</v>
      </c>
      <c r="D39" t="s">
        <v>32</v>
      </c>
      <c r="E39" t="s">
        <v>28</v>
      </c>
      <c r="F39">
        <v>11838</v>
      </c>
      <c r="G39">
        <v>7892</v>
      </c>
      <c r="H39" t="s">
        <v>270</v>
      </c>
    </row>
    <row r="40" spans="1:8" x14ac:dyDescent="0.25">
      <c r="A40">
        <v>2014</v>
      </c>
      <c r="B40" t="s">
        <v>18</v>
      </c>
      <c r="C40" t="s">
        <v>36</v>
      </c>
      <c r="D40" t="s">
        <v>39</v>
      </c>
      <c r="E40" t="s">
        <v>26</v>
      </c>
      <c r="F40">
        <v>2367</v>
      </c>
      <c r="G40">
        <v>1578</v>
      </c>
      <c r="H40" t="s">
        <v>269</v>
      </c>
    </row>
    <row r="41" spans="1:8" x14ac:dyDescent="0.25">
      <c r="A41">
        <v>2014</v>
      </c>
      <c r="B41" t="s">
        <v>18</v>
      </c>
      <c r="C41" t="s">
        <v>33</v>
      </c>
      <c r="D41" t="s">
        <v>39</v>
      </c>
      <c r="E41" t="s">
        <v>26</v>
      </c>
      <c r="F41">
        <v>14619</v>
      </c>
      <c r="G41">
        <v>9746</v>
      </c>
      <c r="H41" t="s">
        <v>268</v>
      </c>
    </row>
    <row r="42" spans="1:8" x14ac:dyDescent="0.25">
      <c r="A42">
        <v>2014</v>
      </c>
      <c r="B42" t="s">
        <v>18</v>
      </c>
      <c r="C42" t="s">
        <v>24</v>
      </c>
      <c r="D42" t="s">
        <v>39</v>
      </c>
      <c r="E42" t="s">
        <v>26</v>
      </c>
      <c r="F42">
        <v>13428</v>
      </c>
      <c r="G42">
        <v>8952</v>
      </c>
      <c r="H42" t="s">
        <v>267</v>
      </c>
    </row>
    <row r="43" spans="1:8" x14ac:dyDescent="0.25">
      <c r="A43">
        <v>2014</v>
      </c>
      <c r="B43" t="s">
        <v>18</v>
      </c>
      <c r="C43" t="s">
        <v>33</v>
      </c>
      <c r="D43" t="s">
        <v>39</v>
      </c>
      <c r="E43" t="s">
        <v>26</v>
      </c>
      <c r="F43">
        <v>11122.5</v>
      </c>
      <c r="G43">
        <v>7415</v>
      </c>
      <c r="H43" t="s">
        <v>266</v>
      </c>
    </row>
    <row r="44" spans="1:8" x14ac:dyDescent="0.25">
      <c r="A44">
        <v>2014</v>
      </c>
      <c r="B44" t="s">
        <v>18</v>
      </c>
      <c r="C44" t="s">
        <v>33</v>
      </c>
      <c r="D44" t="s">
        <v>39</v>
      </c>
      <c r="E44" t="s">
        <v>26</v>
      </c>
      <c r="F44">
        <v>8793</v>
      </c>
      <c r="G44">
        <v>5862</v>
      </c>
      <c r="H44" t="s">
        <v>265</v>
      </c>
    </row>
    <row r="45" spans="1:8" x14ac:dyDescent="0.25">
      <c r="A45">
        <v>2014</v>
      </c>
      <c r="B45" t="s">
        <v>18</v>
      </c>
      <c r="C45" t="s">
        <v>36</v>
      </c>
      <c r="D45" t="s">
        <v>39</v>
      </c>
      <c r="E45" t="s">
        <v>26</v>
      </c>
      <c r="F45">
        <v>2367</v>
      </c>
      <c r="G45">
        <v>1578</v>
      </c>
      <c r="H45" t="s">
        <v>264</v>
      </c>
    </row>
    <row r="46" spans="1:8" x14ac:dyDescent="0.25">
      <c r="A46">
        <v>2014</v>
      </c>
      <c r="B46" t="s">
        <v>18</v>
      </c>
      <c r="C46" t="s">
        <v>33</v>
      </c>
      <c r="D46" t="s">
        <v>39</v>
      </c>
      <c r="E46" t="s">
        <v>26</v>
      </c>
      <c r="F46">
        <v>14619</v>
      </c>
      <c r="G46">
        <v>9746</v>
      </c>
      <c r="H46" t="s">
        <v>263</v>
      </c>
    </row>
    <row r="47" spans="1:8" x14ac:dyDescent="0.25">
      <c r="A47">
        <v>2014</v>
      </c>
      <c r="B47" t="s">
        <v>18</v>
      </c>
      <c r="C47" t="s">
        <v>24</v>
      </c>
      <c r="D47" t="s">
        <v>39</v>
      </c>
      <c r="E47" t="s">
        <v>26</v>
      </c>
      <c r="F47">
        <v>13428</v>
      </c>
      <c r="G47">
        <v>8952</v>
      </c>
      <c r="H47" t="s">
        <v>262</v>
      </c>
    </row>
    <row r="48" spans="1:8" x14ac:dyDescent="0.25">
      <c r="A48">
        <v>2014</v>
      </c>
      <c r="B48" t="s">
        <v>18</v>
      </c>
      <c r="C48" t="s">
        <v>33</v>
      </c>
      <c r="D48" t="s">
        <v>39</v>
      </c>
      <c r="E48" t="s">
        <v>26</v>
      </c>
      <c r="F48">
        <v>11122.5</v>
      </c>
      <c r="G48">
        <v>7415</v>
      </c>
      <c r="H48" t="s">
        <v>261</v>
      </c>
    </row>
    <row r="49" spans="1:8" x14ac:dyDescent="0.25">
      <c r="A49">
        <v>2014</v>
      </c>
      <c r="B49" t="s">
        <v>18</v>
      </c>
      <c r="C49" t="s">
        <v>33</v>
      </c>
      <c r="D49" t="s">
        <v>39</v>
      </c>
      <c r="E49" t="s">
        <v>26</v>
      </c>
      <c r="F49">
        <v>8793</v>
      </c>
      <c r="G49">
        <v>5862</v>
      </c>
      <c r="H49" t="s">
        <v>260</v>
      </c>
    </row>
    <row r="50" spans="1:8" x14ac:dyDescent="0.25">
      <c r="A50">
        <v>2014</v>
      </c>
      <c r="B50" t="s">
        <v>18</v>
      </c>
      <c r="C50" t="s">
        <v>31</v>
      </c>
      <c r="D50" t="s">
        <v>38</v>
      </c>
      <c r="E50" t="s">
        <v>35</v>
      </c>
      <c r="F50">
        <v>2046</v>
      </c>
      <c r="G50">
        <v>1364</v>
      </c>
      <c r="H50" t="s">
        <v>259</v>
      </c>
    </row>
    <row r="51" spans="1:8" x14ac:dyDescent="0.25">
      <c r="A51">
        <v>2014</v>
      </c>
      <c r="B51" t="s">
        <v>18</v>
      </c>
      <c r="C51" t="s">
        <v>24</v>
      </c>
      <c r="D51" t="s">
        <v>38</v>
      </c>
      <c r="E51" t="s">
        <v>35</v>
      </c>
      <c r="F51">
        <v>7030.5</v>
      </c>
      <c r="G51">
        <v>4687</v>
      </c>
      <c r="H51" t="s">
        <v>258</v>
      </c>
    </row>
    <row r="52" spans="1:8" x14ac:dyDescent="0.25">
      <c r="A52">
        <v>2014</v>
      </c>
      <c r="B52" t="s">
        <v>18</v>
      </c>
      <c r="C52" t="s">
        <v>36</v>
      </c>
      <c r="D52" t="s">
        <v>38</v>
      </c>
      <c r="E52" t="s">
        <v>35</v>
      </c>
      <c r="F52">
        <v>2367</v>
      </c>
      <c r="G52">
        <v>1578</v>
      </c>
      <c r="H52" t="s">
        <v>257</v>
      </c>
    </row>
    <row r="53" spans="1:8" x14ac:dyDescent="0.25">
      <c r="A53">
        <v>2014</v>
      </c>
      <c r="B53" t="s">
        <v>18</v>
      </c>
      <c r="C53" t="s">
        <v>24</v>
      </c>
      <c r="D53" t="s">
        <v>38</v>
      </c>
      <c r="E53" t="s">
        <v>35</v>
      </c>
      <c r="F53">
        <v>11838</v>
      </c>
      <c r="G53">
        <v>7892</v>
      </c>
      <c r="H53" t="s">
        <v>256</v>
      </c>
    </row>
    <row r="54" spans="1:8" x14ac:dyDescent="0.25">
      <c r="A54">
        <v>2014</v>
      </c>
      <c r="B54" t="s">
        <v>18</v>
      </c>
      <c r="C54" t="s">
        <v>31</v>
      </c>
      <c r="D54" t="s">
        <v>38</v>
      </c>
      <c r="E54" t="s">
        <v>35</v>
      </c>
      <c r="F54">
        <v>2046</v>
      </c>
      <c r="G54">
        <v>1364</v>
      </c>
      <c r="H54" t="s">
        <v>255</v>
      </c>
    </row>
    <row r="55" spans="1:8" x14ac:dyDescent="0.25">
      <c r="A55">
        <v>2014</v>
      </c>
      <c r="B55" t="s">
        <v>18</v>
      </c>
      <c r="C55" t="s">
        <v>24</v>
      </c>
      <c r="D55" t="s">
        <v>38</v>
      </c>
      <c r="E55" t="s">
        <v>35</v>
      </c>
      <c r="F55">
        <v>7030.5</v>
      </c>
      <c r="G55">
        <v>4687</v>
      </c>
      <c r="H55" t="s">
        <v>254</v>
      </c>
    </row>
    <row r="56" spans="1:8" x14ac:dyDescent="0.25">
      <c r="A56">
        <v>2014</v>
      </c>
      <c r="B56" t="s">
        <v>18</v>
      </c>
      <c r="C56" t="s">
        <v>36</v>
      </c>
      <c r="D56" t="s">
        <v>38</v>
      </c>
      <c r="E56" t="s">
        <v>35</v>
      </c>
      <c r="F56">
        <v>2367</v>
      </c>
      <c r="G56">
        <v>1578</v>
      </c>
      <c r="H56" t="s">
        <v>253</v>
      </c>
    </row>
    <row r="57" spans="1:8" x14ac:dyDescent="0.25">
      <c r="A57">
        <v>2014</v>
      </c>
      <c r="B57" t="s">
        <v>18</v>
      </c>
      <c r="C57" t="s">
        <v>24</v>
      </c>
      <c r="D57" t="s">
        <v>38</v>
      </c>
      <c r="E57" t="s">
        <v>35</v>
      </c>
      <c r="F57">
        <v>11838</v>
      </c>
      <c r="G57">
        <v>7892</v>
      </c>
      <c r="H57" t="s">
        <v>252</v>
      </c>
    </row>
    <row r="58" spans="1:8" x14ac:dyDescent="0.25">
      <c r="A58">
        <v>2014</v>
      </c>
      <c r="B58" t="s">
        <v>18</v>
      </c>
      <c r="C58" t="s">
        <v>33</v>
      </c>
      <c r="D58" t="s">
        <v>30</v>
      </c>
      <c r="E58" t="s">
        <v>27</v>
      </c>
      <c r="F58">
        <v>6880.5</v>
      </c>
      <c r="G58">
        <v>4587</v>
      </c>
      <c r="H58" t="s">
        <v>251</v>
      </c>
    </row>
    <row r="59" spans="1:8" x14ac:dyDescent="0.25">
      <c r="A59">
        <v>2014</v>
      </c>
      <c r="B59" t="s">
        <v>18</v>
      </c>
      <c r="C59" t="s">
        <v>36</v>
      </c>
      <c r="D59" t="s">
        <v>30</v>
      </c>
      <c r="E59" t="s">
        <v>27</v>
      </c>
      <c r="F59">
        <v>2367</v>
      </c>
      <c r="G59">
        <v>1578</v>
      </c>
      <c r="H59" t="s">
        <v>250</v>
      </c>
    </row>
    <row r="60" spans="1:8" x14ac:dyDescent="0.25">
      <c r="A60">
        <v>2013</v>
      </c>
      <c r="B60" t="s">
        <v>18</v>
      </c>
      <c r="C60" t="s">
        <v>36</v>
      </c>
      <c r="D60" t="s">
        <v>30</v>
      </c>
      <c r="E60" t="s">
        <v>27</v>
      </c>
      <c r="F60">
        <v>1972.5</v>
      </c>
      <c r="G60">
        <v>1578</v>
      </c>
      <c r="H60" t="s">
        <v>100</v>
      </c>
    </row>
    <row r="61" spans="1:8" x14ac:dyDescent="0.25">
      <c r="A61">
        <v>2013</v>
      </c>
      <c r="B61" t="s">
        <v>18</v>
      </c>
      <c r="C61" t="s">
        <v>33</v>
      </c>
      <c r="D61" t="s">
        <v>30</v>
      </c>
      <c r="E61" t="s">
        <v>27</v>
      </c>
      <c r="F61">
        <v>5733.75</v>
      </c>
      <c r="G61">
        <v>4587</v>
      </c>
      <c r="H61" t="s">
        <v>101</v>
      </c>
    </row>
    <row r="62" spans="1:8" x14ac:dyDescent="0.25">
      <c r="A62">
        <v>2013</v>
      </c>
      <c r="B62" t="s">
        <v>18</v>
      </c>
      <c r="C62" t="s">
        <v>36</v>
      </c>
      <c r="D62" t="s">
        <v>30</v>
      </c>
      <c r="E62" t="s">
        <v>27</v>
      </c>
      <c r="F62">
        <v>1972.5</v>
      </c>
      <c r="G62">
        <v>1578</v>
      </c>
      <c r="H62" t="s">
        <v>102</v>
      </c>
    </row>
    <row r="63" spans="1:8" x14ac:dyDescent="0.25">
      <c r="A63">
        <v>2013</v>
      </c>
      <c r="B63" t="s">
        <v>18</v>
      </c>
      <c r="C63" t="s">
        <v>33</v>
      </c>
      <c r="D63" t="s">
        <v>30</v>
      </c>
      <c r="E63" t="s">
        <v>27</v>
      </c>
      <c r="F63">
        <v>5733.75</v>
      </c>
      <c r="G63">
        <v>4587</v>
      </c>
      <c r="H63" t="s">
        <v>103</v>
      </c>
    </row>
    <row r="64" spans="1:8" x14ac:dyDescent="0.25">
      <c r="A64">
        <v>2013</v>
      </c>
      <c r="B64" t="s">
        <v>18</v>
      </c>
      <c r="C64" t="s">
        <v>24</v>
      </c>
      <c r="D64" t="s">
        <v>38</v>
      </c>
      <c r="E64" t="s">
        <v>35</v>
      </c>
      <c r="F64">
        <v>9865</v>
      </c>
      <c r="G64">
        <v>7892</v>
      </c>
      <c r="H64" t="s">
        <v>104</v>
      </c>
    </row>
    <row r="65" spans="1:8" x14ac:dyDescent="0.25">
      <c r="A65">
        <v>2013</v>
      </c>
      <c r="B65" t="s">
        <v>18</v>
      </c>
      <c r="C65" t="s">
        <v>36</v>
      </c>
      <c r="D65" t="s">
        <v>38</v>
      </c>
      <c r="E65" t="s">
        <v>35</v>
      </c>
      <c r="F65">
        <v>1972.5</v>
      </c>
      <c r="G65">
        <v>1578</v>
      </c>
      <c r="H65" t="s">
        <v>105</v>
      </c>
    </row>
    <row r="66" spans="1:8" x14ac:dyDescent="0.25">
      <c r="A66">
        <v>2013</v>
      </c>
      <c r="B66" t="s">
        <v>18</v>
      </c>
      <c r="C66" t="s">
        <v>24</v>
      </c>
      <c r="D66" t="s">
        <v>38</v>
      </c>
      <c r="E66" t="s">
        <v>35</v>
      </c>
      <c r="F66">
        <v>5858.75</v>
      </c>
      <c r="G66">
        <v>4687</v>
      </c>
      <c r="H66" t="s">
        <v>106</v>
      </c>
    </row>
    <row r="67" spans="1:8" x14ac:dyDescent="0.25">
      <c r="A67">
        <v>2013</v>
      </c>
      <c r="B67" t="s">
        <v>18</v>
      </c>
      <c r="C67" t="s">
        <v>31</v>
      </c>
      <c r="D67" t="s">
        <v>38</v>
      </c>
      <c r="E67" t="s">
        <v>35</v>
      </c>
      <c r="F67">
        <v>1705</v>
      </c>
      <c r="G67">
        <v>1364</v>
      </c>
      <c r="H67" t="s">
        <v>107</v>
      </c>
    </row>
    <row r="68" spans="1:8" x14ac:dyDescent="0.25">
      <c r="A68">
        <v>2013</v>
      </c>
      <c r="B68" t="s">
        <v>18</v>
      </c>
      <c r="C68" t="s">
        <v>24</v>
      </c>
      <c r="D68" t="s">
        <v>38</v>
      </c>
      <c r="E68" t="s">
        <v>35</v>
      </c>
      <c r="F68">
        <v>9865</v>
      </c>
      <c r="G68">
        <v>7892</v>
      </c>
      <c r="H68" t="s">
        <v>108</v>
      </c>
    </row>
    <row r="69" spans="1:8" x14ac:dyDescent="0.25">
      <c r="A69">
        <v>2013</v>
      </c>
      <c r="B69" t="s">
        <v>18</v>
      </c>
      <c r="C69" t="s">
        <v>36</v>
      </c>
      <c r="D69" t="s">
        <v>38</v>
      </c>
      <c r="E69" t="s">
        <v>35</v>
      </c>
      <c r="F69">
        <v>1972.5</v>
      </c>
      <c r="G69">
        <v>1578</v>
      </c>
      <c r="H69" t="s">
        <v>109</v>
      </c>
    </row>
    <row r="70" spans="1:8" x14ac:dyDescent="0.25">
      <c r="A70">
        <v>2013</v>
      </c>
      <c r="B70" t="s">
        <v>18</v>
      </c>
      <c r="C70" t="s">
        <v>24</v>
      </c>
      <c r="D70" t="s">
        <v>38</v>
      </c>
      <c r="E70" t="s">
        <v>35</v>
      </c>
      <c r="F70">
        <v>5858.75</v>
      </c>
      <c r="G70">
        <v>4687</v>
      </c>
      <c r="H70" t="s">
        <v>110</v>
      </c>
    </row>
    <row r="71" spans="1:8" x14ac:dyDescent="0.25">
      <c r="A71">
        <v>2013</v>
      </c>
      <c r="B71" t="s">
        <v>18</v>
      </c>
      <c r="C71" t="s">
        <v>31</v>
      </c>
      <c r="D71" t="s">
        <v>38</v>
      </c>
      <c r="E71" t="s">
        <v>35</v>
      </c>
      <c r="F71">
        <v>1705</v>
      </c>
      <c r="G71">
        <v>1364</v>
      </c>
      <c r="H71" t="s">
        <v>111</v>
      </c>
    </row>
    <row r="72" spans="1:8" x14ac:dyDescent="0.25">
      <c r="A72">
        <v>2013</v>
      </c>
      <c r="B72" t="s">
        <v>18</v>
      </c>
      <c r="C72" t="s">
        <v>33</v>
      </c>
      <c r="D72" t="s">
        <v>39</v>
      </c>
      <c r="E72" t="s">
        <v>26</v>
      </c>
      <c r="F72">
        <v>7327.5</v>
      </c>
      <c r="G72">
        <v>5862</v>
      </c>
      <c r="H72" t="s">
        <v>112</v>
      </c>
    </row>
    <row r="73" spans="1:8" x14ac:dyDescent="0.25">
      <c r="A73">
        <v>2013</v>
      </c>
      <c r="B73" t="s">
        <v>18</v>
      </c>
      <c r="C73" t="s">
        <v>33</v>
      </c>
      <c r="D73" t="s">
        <v>39</v>
      </c>
      <c r="E73" t="s">
        <v>26</v>
      </c>
      <c r="F73">
        <v>9268.75</v>
      </c>
      <c r="G73">
        <v>7415</v>
      </c>
      <c r="H73" t="s">
        <v>113</v>
      </c>
    </row>
    <row r="74" spans="1:8" x14ac:dyDescent="0.25">
      <c r="A74">
        <v>2013</v>
      </c>
      <c r="B74" t="s">
        <v>18</v>
      </c>
      <c r="C74" t="s">
        <v>24</v>
      </c>
      <c r="D74" t="s">
        <v>39</v>
      </c>
      <c r="E74" t="s">
        <v>26</v>
      </c>
      <c r="F74">
        <v>11190</v>
      </c>
      <c r="G74">
        <v>8952</v>
      </c>
      <c r="H74" t="s">
        <v>114</v>
      </c>
    </row>
    <row r="75" spans="1:8" x14ac:dyDescent="0.25">
      <c r="A75">
        <v>2013</v>
      </c>
      <c r="B75" t="s">
        <v>18</v>
      </c>
      <c r="C75" t="s">
        <v>33</v>
      </c>
      <c r="D75" t="s">
        <v>39</v>
      </c>
      <c r="E75" t="s">
        <v>26</v>
      </c>
      <c r="F75">
        <v>12182.5</v>
      </c>
      <c r="G75">
        <v>9746</v>
      </c>
      <c r="H75" t="s">
        <v>115</v>
      </c>
    </row>
    <row r="76" spans="1:8" x14ac:dyDescent="0.25">
      <c r="A76">
        <v>2013</v>
      </c>
      <c r="B76" t="s">
        <v>18</v>
      </c>
      <c r="C76" t="s">
        <v>36</v>
      </c>
      <c r="D76" t="s">
        <v>39</v>
      </c>
      <c r="E76" t="s">
        <v>26</v>
      </c>
      <c r="F76">
        <v>1972.5</v>
      </c>
      <c r="G76">
        <v>1578</v>
      </c>
      <c r="H76" t="s">
        <v>116</v>
      </c>
    </row>
    <row r="77" spans="1:8" x14ac:dyDescent="0.25">
      <c r="A77">
        <v>2013</v>
      </c>
      <c r="B77" t="s">
        <v>18</v>
      </c>
      <c r="C77" t="s">
        <v>33</v>
      </c>
      <c r="D77" t="s">
        <v>39</v>
      </c>
      <c r="E77" t="s">
        <v>26</v>
      </c>
      <c r="F77">
        <v>7327.5</v>
      </c>
      <c r="G77">
        <v>5862</v>
      </c>
      <c r="H77" t="s">
        <v>117</v>
      </c>
    </row>
    <row r="78" spans="1:8" x14ac:dyDescent="0.25">
      <c r="A78">
        <v>2013</v>
      </c>
      <c r="B78" t="s">
        <v>18</v>
      </c>
      <c r="C78" t="s">
        <v>33</v>
      </c>
      <c r="D78" t="s">
        <v>39</v>
      </c>
      <c r="E78" t="s">
        <v>26</v>
      </c>
      <c r="F78">
        <v>9268.75</v>
      </c>
      <c r="G78">
        <v>7415</v>
      </c>
      <c r="H78" t="s">
        <v>118</v>
      </c>
    </row>
    <row r="79" spans="1:8" x14ac:dyDescent="0.25">
      <c r="A79">
        <v>2013</v>
      </c>
      <c r="B79" t="s">
        <v>18</v>
      </c>
      <c r="C79" t="s">
        <v>24</v>
      </c>
      <c r="D79" t="s">
        <v>39</v>
      </c>
      <c r="E79" t="s">
        <v>26</v>
      </c>
      <c r="F79">
        <v>11190</v>
      </c>
      <c r="G79">
        <v>8952</v>
      </c>
      <c r="H79" t="s">
        <v>119</v>
      </c>
    </row>
    <row r="80" spans="1:8" x14ac:dyDescent="0.25">
      <c r="A80">
        <v>2013</v>
      </c>
      <c r="B80" t="s">
        <v>18</v>
      </c>
      <c r="C80" t="s">
        <v>33</v>
      </c>
      <c r="D80" t="s">
        <v>39</v>
      </c>
      <c r="E80" t="s">
        <v>26</v>
      </c>
      <c r="F80">
        <v>12182.5</v>
      </c>
      <c r="G80">
        <v>9746</v>
      </c>
      <c r="H80" t="s">
        <v>120</v>
      </c>
    </row>
    <row r="81" spans="1:8" x14ac:dyDescent="0.25">
      <c r="A81">
        <v>2013</v>
      </c>
      <c r="B81" t="s">
        <v>18</v>
      </c>
      <c r="C81" t="s">
        <v>36</v>
      </c>
      <c r="D81" t="s">
        <v>39</v>
      </c>
      <c r="E81" t="s">
        <v>26</v>
      </c>
      <c r="F81">
        <v>1972.5</v>
      </c>
      <c r="G81">
        <v>1578</v>
      </c>
      <c r="H81" t="s">
        <v>121</v>
      </c>
    </row>
    <row r="82" spans="1:8" x14ac:dyDescent="0.25">
      <c r="A82">
        <v>2013</v>
      </c>
      <c r="B82" t="s">
        <v>18</v>
      </c>
      <c r="C82" t="s">
        <v>24</v>
      </c>
      <c r="D82" t="s">
        <v>32</v>
      </c>
      <c r="E82" t="s">
        <v>28</v>
      </c>
      <c r="F82">
        <v>9865</v>
      </c>
      <c r="G82">
        <v>7892</v>
      </c>
      <c r="H82" t="s">
        <v>122</v>
      </c>
    </row>
    <row r="83" spans="1:8" x14ac:dyDescent="0.25">
      <c r="A83">
        <v>2013</v>
      </c>
      <c r="B83" t="s">
        <v>18</v>
      </c>
      <c r="C83" t="s">
        <v>24</v>
      </c>
      <c r="D83" t="s">
        <v>32</v>
      </c>
      <c r="E83" t="s">
        <v>28</v>
      </c>
      <c r="F83">
        <v>9982.5</v>
      </c>
      <c r="G83">
        <v>7986</v>
      </c>
      <c r="H83" t="s">
        <v>123</v>
      </c>
    </row>
    <row r="84" spans="1:8" x14ac:dyDescent="0.25">
      <c r="A84">
        <v>2013</v>
      </c>
      <c r="B84" t="s">
        <v>18</v>
      </c>
      <c r="C84" t="s">
        <v>24</v>
      </c>
      <c r="D84" t="s">
        <v>32</v>
      </c>
      <c r="E84" t="s">
        <v>28</v>
      </c>
      <c r="F84">
        <v>9865</v>
      </c>
      <c r="G84">
        <v>7892</v>
      </c>
      <c r="H84" t="s">
        <v>124</v>
      </c>
    </row>
    <row r="85" spans="1:8" x14ac:dyDescent="0.25">
      <c r="A85">
        <v>2013</v>
      </c>
      <c r="B85" t="s">
        <v>18</v>
      </c>
      <c r="C85" t="s">
        <v>24</v>
      </c>
      <c r="D85" t="s">
        <v>32</v>
      </c>
      <c r="E85" t="s">
        <v>28</v>
      </c>
      <c r="F85">
        <v>9982.5</v>
      </c>
      <c r="G85">
        <v>7986</v>
      </c>
      <c r="H85" t="s">
        <v>125</v>
      </c>
    </row>
    <row r="86" spans="1:8" x14ac:dyDescent="0.25">
      <c r="A86">
        <v>2013</v>
      </c>
      <c r="B86" t="s">
        <v>18</v>
      </c>
      <c r="C86" t="s">
        <v>24</v>
      </c>
      <c r="D86" t="s">
        <v>34</v>
      </c>
      <c r="E86" t="s">
        <v>35</v>
      </c>
      <c r="F86">
        <v>5858.75</v>
      </c>
      <c r="G86">
        <v>4687</v>
      </c>
      <c r="H86" t="s">
        <v>126</v>
      </c>
    </row>
    <row r="87" spans="1:8" x14ac:dyDescent="0.25">
      <c r="A87">
        <v>2013</v>
      </c>
      <c r="B87" t="s">
        <v>18</v>
      </c>
      <c r="C87" t="s">
        <v>31</v>
      </c>
      <c r="D87" t="s">
        <v>34</v>
      </c>
      <c r="E87" t="s">
        <v>35</v>
      </c>
      <c r="F87">
        <v>1705</v>
      </c>
      <c r="G87">
        <v>1364</v>
      </c>
      <c r="H87" t="s">
        <v>127</v>
      </c>
    </row>
    <row r="88" spans="1:8" x14ac:dyDescent="0.25">
      <c r="A88">
        <v>2013</v>
      </c>
      <c r="B88" t="s">
        <v>18</v>
      </c>
      <c r="C88" t="s">
        <v>24</v>
      </c>
      <c r="D88" t="s">
        <v>34</v>
      </c>
      <c r="E88" t="s">
        <v>35</v>
      </c>
      <c r="F88">
        <v>5858.75</v>
      </c>
      <c r="G88">
        <v>4687</v>
      </c>
      <c r="H88" t="s">
        <v>128</v>
      </c>
    </row>
    <row r="89" spans="1:8" x14ac:dyDescent="0.25">
      <c r="A89">
        <v>2013</v>
      </c>
      <c r="B89" t="s">
        <v>18</v>
      </c>
      <c r="C89" t="s">
        <v>31</v>
      </c>
      <c r="D89" t="s">
        <v>34</v>
      </c>
      <c r="E89" t="s">
        <v>35</v>
      </c>
      <c r="F89">
        <v>1705</v>
      </c>
      <c r="G89">
        <v>1364</v>
      </c>
      <c r="H89" t="s">
        <v>129</v>
      </c>
    </row>
    <row r="90" spans="1:8" x14ac:dyDescent="0.25">
      <c r="A90">
        <v>2014</v>
      </c>
      <c r="B90" t="s">
        <v>18</v>
      </c>
      <c r="C90" t="s">
        <v>33</v>
      </c>
      <c r="D90" t="s">
        <v>30</v>
      </c>
      <c r="E90" t="s">
        <v>27</v>
      </c>
      <c r="F90">
        <v>6880.5</v>
      </c>
      <c r="G90">
        <v>4587</v>
      </c>
      <c r="H90" t="s">
        <v>249</v>
      </c>
    </row>
    <row r="91" spans="1:8" x14ac:dyDescent="0.25">
      <c r="A91">
        <v>2014</v>
      </c>
      <c r="B91" t="s">
        <v>18</v>
      </c>
      <c r="C91" t="s">
        <v>36</v>
      </c>
      <c r="D91" t="s">
        <v>30</v>
      </c>
      <c r="E91" t="s">
        <v>27</v>
      </c>
      <c r="F91">
        <v>2367</v>
      </c>
      <c r="G91">
        <v>1578</v>
      </c>
      <c r="H91" t="s">
        <v>248</v>
      </c>
    </row>
  </sheetData>
  <pageMargins left="0.7" right="0.7" top="0.75" bottom="0.75" header="0.3" footer="0.3"/>
  <ignoredErrors>
    <ignoredError sqref="H2" numberStoredAsText="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E4E36-177B-4922-9419-D92F4BBA0888}">
  <dimension ref="A3:F50"/>
  <sheetViews>
    <sheetView showGridLines="0" workbookViewId="0">
      <selection activeCell="C3" sqref="C3"/>
    </sheetView>
  </sheetViews>
  <sheetFormatPr defaultRowHeight="13.2" x14ac:dyDescent="0.25"/>
  <cols>
    <col min="1" max="1" width="14" bestFit="1" customWidth="1"/>
    <col min="2" max="2" width="16.21875" bestFit="1" customWidth="1"/>
    <col min="3" max="3" width="9.6640625" bestFit="1" customWidth="1"/>
    <col min="4" max="4" width="9.33203125" bestFit="1" customWidth="1"/>
    <col min="5" max="5" width="11.88671875" bestFit="1" customWidth="1"/>
    <col min="6" max="6" width="11.33203125" bestFit="1" customWidth="1"/>
    <col min="7" max="7" width="9.88671875" bestFit="1" customWidth="1"/>
    <col min="8" max="8" width="9.77734375" bestFit="1" customWidth="1"/>
    <col min="9" max="9" width="11.33203125" bestFit="1" customWidth="1"/>
    <col min="10" max="10" width="17.44140625" bestFit="1" customWidth="1"/>
    <col min="11" max="11" width="20.6640625" bestFit="1" customWidth="1"/>
    <col min="12" max="12" width="11.21875" bestFit="1" customWidth="1"/>
    <col min="13" max="15" width="8" bestFit="1" customWidth="1"/>
    <col min="16" max="16" width="14.33203125" bestFit="1" customWidth="1"/>
    <col min="17" max="17" width="13.77734375" bestFit="1" customWidth="1"/>
    <col min="18" max="20" width="9" bestFit="1" customWidth="1"/>
    <col min="21" max="21" width="16.88671875" bestFit="1" customWidth="1"/>
    <col min="22" max="22" width="11.33203125" bestFit="1" customWidth="1"/>
  </cols>
  <sheetData>
    <row r="3" spans="1:6" x14ac:dyDescent="0.25">
      <c r="A3" s="17" t="s">
        <v>489</v>
      </c>
      <c r="B3" s="17" t="s">
        <v>490</v>
      </c>
    </row>
    <row r="4" spans="1:6" x14ac:dyDescent="0.25">
      <c r="A4" s="17" t="s">
        <v>487</v>
      </c>
      <c r="B4" t="s">
        <v>31</v>
      </c>
      <c r="C4" t="s">
        <v>24</v>
      </c>
      <c r="D4" t="s">
        <v>36</v>
      </c>
      <c r="E4" t="s">
        <v>33</v>
      </c>
      <c r="F4" t="s">
        <v>488</v>
      </c>
    </row>
    <row r="5" spans="1:6" x14ac:dyDescent="0.25">
      <c r="A5" s="18">
        <v>2013</v>
      </c>
      <c r="B5" s="19">
        <v>33405</v>
      </c>
      <c r="C5" s="19">
        <v>68757.5</v>
      </c>
      <c r="D5" s="19">
        <v>24487</v>
      </c>
      <c r="E5" s="19">
        <v>26696.25</v>
      </c>
      <c r="F5" s="19">
        <v>153345.75</v>
      </c>
    </row>
    <row r="6" spans="1:6" x14ac:dyDescent="0.25">
      <c r="A6" s="20" t="s">
        <v>20</v>
      </c>
      <c r="B6" s="19"/>
      <c r="C6" s="19"/>
      <c r="D6" s="19">
        <v>7107</v>
      </c>
      <c r="E6" s="19"/>
      <c r="F6" s="19">
        <v>7107</v>
      </c>
    </row>
    <row r="7" spans="1:6" x14ac:dyDescent="0.25">
      <c r="A7" s="21" t="s">
        <v>28</v>
      </c>
      <c r="B7" s="19"/>
      <c r="C7" s="19"/>
      <c r="D7" s="19">
        <v>7107</v>
      </c>
      <c r="E7" s="19"/>
      <c r="F7" s="19">
        <v>7107</v>
      </c>
    </row>
    <row r="8" spans="1:6" x14ac:dyDescent="0.25">
      <c r="A8" s="20" t="s">
        <v>19</v>
      </c>
      <c r="B8" s="19">
        <v>24412.5</v>
      </c>
      <c r="C8" s="19"/>
      <c r="D8" s="19"/>
      <c r="E8" s="19">
        <v>20391.25</v>
      </c>
      <c r="F8" s="19">
        <v>44803.75</v>
      </c>
    </row>
    <row r="9" spans="1:6" x14ac:dyDescent="0.25">
      <c r="A9" s="21" t="s">
        <v>28</v>
      </c>
      <c r="B9" s="19">
        <v>24412.5</v>
      </c>
      <c r="C9" s="19"/>
      <c r="D9" s="19"/>
      <c r="E9" s="19">
        <v>20391.25</v>
      </c>
      <c r="F9" s="19">
        <v>44803.75</v>
      </c>
    </row>
    <row r="10" spans="1:6" x14ac:dyDescent="0.25">
      <c r="A10" s="20" t="s">
        <v>21</v>
      </c>
      <c r="B10" s="19">
        <v>2497.5</v>
      </c>
      <c r="C10" s="19"/>
      <c r="D10" s="19"/>
      <c r="E10" s="19">
        <v>392.5</v>
      </c>
      <c r="F10" s="19">
        <v>2890</v>
      </c>
    </row>
    <row r="11" spans="1:6" x14ac:dyDescent="0.25">
      <c r="A11" s="21" t="s">
        <v>28</v>
      </c>
      <c r="B11" s="19">
        <v>2497.5</v>
      </c>
      <c r="C11" s="19"/>
      <c r="D11" s="19"/>
      <c r="E11" s="19">
        <v>392.5</v>
      </c>
      <c r="F11" s="19">
        <v>2890</v>
      </c>
    </row>
    <row r="12" spans="1:6" x14ac:dyDescent="0.25">
      <c r="A12" s="20" t="s">
        <v>18</v>
      </c>
      <c r="B12" s="19"/>
      <c r="C12" s="19">
        <v>39695</v>
      </c>
      <c r="D12" s="19"/>
      <c r="E12" s="19"/>
      <c r="F12" s="19">
        <v>39695</v>
      </c>
    </row>
    <row r="13" spans="1:6" x14ac:dyDescent="0.25">
      <c r="A13" s="21" t="s">
        <v>28</v>
      </c>
      <c r="B13" s="19"/>
      <c r="C13" s="19">
        <v>39695</v>
      </c>
      <c r="D13" s="19"/>
      <c r="E13" s="19"/>
      <c r="F13" s="19">
        <v>39695</v>
      </c>
    </row>
    <row r="14" spans="1:6" x14ac:dyDescent="0.25">
      <c r="A14" s="20" t="s">
        <v>22</v>
      </c>
      <c r="B14" s="19"/>
      <c r="C14" s="19">
        <v>23665</v>
      </c>
      <c r="D14" s="19">
        <v>12240</v>
      </c>
      <c r="E14" s="19"/>
      <c r="F14" s="19">
        <v>35905</v>
      </c>
    </row>
    <row r="15" spans="1:6" x14ac:dyDescent="0.25">
      <c r="A15" s="21" t="s">
        <v>28</v>
      </c>
      <c r="B15" s="19"/>
      <c r="C15" s="19">
        <v>23665</v>
      </c>
      <c r="D15" s="19">
        <v>12240</v>
      </c>
      <c r="E15" s="19"/>
      <c r="F15" s="19">
        <v>35905</v>
      </c>
    </row>
    <row r="16" spans="1:6" x14ac:dyDescent="0.25">
      <c r="A16" s="20" t="s">
        <v>23</v>
      </c>
      <c r="B16" s="19">
        <v>6495</v>
      </c>
      <c r="C16" s="19"/>
      <c r="D16" s="19">
        <v>5140</v>
      </c>
      <c r="E16" s="19"/>
      <c r="F16" s="19">
        <v>11635</v>
      </c>
    </row>
    <row r="17" spans="1:6" x14ac:dyDescent="0.25">
      <c r="A17" s="21" t="s">
        <v>28</v>
      </c>
      <c r="B17" s="19">
        <v>6495</v>
      </c>
      <c r="C17" s="19"/>
      <c r="D17" s="19">
        <v>5140</v>
      </c>
      <c r="E17" s="19"/>
      <c r="F17" s="19">
        <v>11635</v>
      </c>
    </row>
    <row r="18" spans="1:6" x14ac:dyDescent="0.25">
      <c r="A18" s="20" t="s">
        <v>37</v>
      </c>
      <c r="B18" s="19"/>
      <c r="C18" s="19">
        <v>5397.5</v>
      </c>
      <c r="D18" s="19"/>
      <c r="E18" s="19">
        <v>5912.5</v>
      </c>
      <c r="F18" s="19">
        <v>11310</v>
      </c>
    </row>
    <row r="19" spans="1:6" x14ac:dyDescent="0.25">
      <c r="A19" s="21" t="s">
        <v>28</v>
      </c>
      <c r="B19" s="19"/>
      <c r="C19" s="19">
        <v>5397.5</v>
      </c>
      <c r="D19" s="19"/>
      <c r="E19" s="19">
        <v>5912.5</v>
      </c>
      <c r="F19" s="19">
        <v>11310</v>
      </c>
    </row>
    <row r="20" spans="1:6" x14ac:dyDescent="0.25">
      <c r="A20" s="18">
        <v>2014</v>
      </c>
      <c r="B20" s="19">
        <v>40086</v>
      </c>
      <c r="C20" s="19">
        <v>82509</v>
      </c>
      <c r="D20" s="19">
        <v>27963</v>
      </c>
      <c r="E20" s="19">
        <v>29811</v>
      </c>
      <c r="F20" s="19">
        <v>180369</v>
      </c>
    </row>
    <row r="21" spans="1:6" x14ac:dyDescent="0.25">
      <c r="A21" s="20" t="s">
        <v>20</v>
      </c>
      <c r="B21" s="19"/>
      <c r="C21" s="19"/>
      <c r="D21" s="19">
        <v>7107</v>
      </c>
      <c r="E21" s="19"/>
      <c r="F21" s="19">
        <v>7107</v>
      </c>
    </row>
    <row r="22" spans="1:6" x14ac:dyDescent="0.25">
      <c r="A22" s="21" t="s">
        <v>28</v>
      </c>
      <c r="B22" s="19"/>
      <c r="C22" s="19"/>
      <c r="D22" s="19">
        <v>7107</v>
      </c>
      <c r="E22" s="19"/>
      <c r="F22" s="19">
        <v>7107</v>
      </c>
    </row>
    <row r="23" spans="1:6" x14ac:dyDescent="0.25">
      <c r="A23" s="20" t="s">
        <v>19</v>
      </c>
      <c r="B23" s="19">
        <v>29295</v>
      </c>
      <c r="C23" s="19"/>
      <c r="D23" s="19"/>
      <c r="E23" s="19">
        <v>22245</v>
      </c>
      <c r="F23" s="19">
        <v>51540</v>
      </c>
    </row>
    <row r="24" spans="1:6" x14ac:dyDescent="0.25">
      <c r="A24" s="21" t="s">
        <v>28</v>
      </c>
      <c r="B24" s="19">
        <v>29295</v>
      </c>
      <c r="C24" s="19"/>
      <c r="D24" s="19"/>
      <c r="E24" s="19">
        <v>22245</v>
      </c>
      <c r="F24" s="19">
        <v>51540</v>
      </c>
    </row>
    <row r="25" spans="1:6" x14ac:dyDescent="0.25">
      <c r="A25" s="20" t="s">
        <v>21</v>
      </c>
      <c r="B25" s="19">
        <v>2997</v>
      </c>
      <c r="C25" s="19"/>
      <c r="D25" s="19"/>
      <c r="E25" s="19">
        <v>471</v>
      </c>
      <c r="F25" s="19">
        <v>3468</v>
      </c>
    </row>
    <row r="26" spans="1:6" x14ac:dyDescent="0.25">
      <c r="A26" s="21" t="s">
        <v>28</v>
      </c>
      <c r="B26" s="19">
        <v>2997</v>
      </c>
      <c r="C26" s="19"/>
      <c r="D26" s="19"/>
      <c r="E26" s="19">
        <v>471</v>
      </c>
      <c r="F26" s="19">
        <v>3468</v>
      </c>
    </row>
    <row r="27" spans="1:6" x14ac:dyDescent="0.25">
      <c r="A27" s="20" t="s">
        <v>18</v>
      </c>
      <c r="B27" s="19"/>
      <c r="C27" s="19">
        <v>47634</v>
      </c>
      <c r="D27" s="19"/>
      <c r="E27" s="19"/>
      <c r="F27" s="19">
        <v>47634</v>
      </c>
    </row>
    <row r="28" spans="1:6" x14ac:dyDescent="0.25">
      <c r="A28" s="21" t="s">
        <v>28</v>
      </c>
      <c r="B28" s="19"/>
      <c r="C28" s="19">
        <v>47634</v>
      </c>
      <c r="D28" s="19"/>
      <c r="E28" s="19"/>
      <c r="F28" s="19">
        <v>47634</v>
      </c>
    </row>
    <row r="29" spans="1:6" x14ac:dyDescent="0.25">
      <c r="A29" s="20" t="s">
        <v>22</v>
      </c>
      <c r="B29" s="19"/>
      <c r="C29" s="19">
        <v>28398</v>
      </c>
      <c r="D29" s="19">
        <v>14688</v>
      </c>
      <c r="E29" s="19"/>
      <c r="F29" s="19">
        <v>43086</v>
      </c>
    </row>
    <row r="30" spans="1:6" x14ac:dyDescent="0.25">
      <c r="A30" s="21" t="s">
        <v>28</v>
      </c>
      <c r="B30" s="19"/>
      <c r="C30" s="19">
        <v>28398</v>
      </c>
      <c r="D30" s="19">
        <v>14688</v>
      </c>
      <c r="E30" s="19"/>
      <c r="F30" s="19">
        <v>43086</v>
      </c>
    </row>
    <row r="31" spans="1:6" x14ac:dyDescent="0.25">
      <c r="A31" s="20" t="s">
        <v>23</v>
      </c>
      <c r="B31" s="19">
        <v>7794</v>
      </c>
      <c r="C31" s="19"/>
      <c r="D31" s="19">
        <v>6168</v>
      </c>
      <c r="E31" s="19"/>
      <c r="F31" s="19">
        <v>13962</v>
      </c>
    </row>
    <row r="32" spans="1:6" x14ac:dyDescent="0.25">
      <c r="A32" s="21" t="s">
        <v>28</v>
      </c>
      <c r="B32" s="19">
        <v>7794</v>
      </c>
      <c r="C32" s="19"/>
      <c r="D32" s="19">
        <v>6168</v>
      </c>
      <c r="E32" s="19"/>
      <c r="F32" s="19">
        <v>13962</v>
      </c>
    </row>
    <row r="33" spans="1:6" x14ac:dyDescent="0.25">
      <c r="A33" s="20" t="s">
        <v>37</v>
      </c>
      <c r="B33" s="19"/>
      <c r="C33" s="19">
        <v>6477</v>
      </c>
      <c r="D33" s="19"/>
      <c r="E33" s="19">
        <v>7095</v>
      </c>
      <c r="F33" s="19">
        <v>13572</v>
      </c>
    </row>
    <row r="34" spans="1:6" x14ac:dyDescent="0.25">
      <c r="A34" s="21" t="s">
        <v>28</v>
      </c>
      <c r="B34" s="19"/>
      <c r="C34" s="19">
        <v>6477</v>
      </c>
      <c r="D34" s="19"/>
      <c r="E34" s="19">
        <v>7095</v>
      </c>
      <c r="F34" s="19">
        <v>13572</v>
      </c>
    </row>
    <row r="35" spans="1:6" x14ac:dyDescent="0.25">
      <c r="A35" s="18">
        <v>2015</v>
      </c>
      <c r="B35" s="19">
        <v>39366.6</v>
      </c>
      <c r="C35" s="19">
        <v>77008.39999999998</v>
      </c>
      <c r="D35" s="19">
        <v>26572.6</v>
      </c>
      <c r="E35" s="19">
        <v>29306.6</v>
      </c>
      <c r="F35" s="19">
        <v>172254.2</v>
      </c>
    </row>
    <row r="36" spans="1:6" x14ac:dyDescent="0.25">
      <c r="A36" s="20" t="s">
        <v>20</v>
      </c>
      <c r="B36" s="19"/>
      <c r="C36" s="19"/>
      <c r="D36" s="19">
        <v>7107</v>
      </c>
      <c r="E36" s="19"/>
      <c r="F36" s="19">
        <v>7107</v>
      </c>
    </row>
    <row r="37" spans="1:6" x14ac:dyDescent="0.25">
      <c r="A37" s="21" t="s">
        <v>28</v>
      </c>
      <c r="B37" s="19"/>
      <c r="C37" s="19"/>
      <c r="D37" s="19">
        <v>7107</v>
      </c>
      <c r="E37" s="19"/>
      <c r="F37" s="19">
        <v>7107</v>
      </c>
    </row>
    <row r="38" spans="1:6" x14ac:dyDescent="0.25">
      <c r="A38" s="20" t="s">
        <v>19</v>
      </c>
      <c r="B38" s="19">
        <v>29295</v>
      </c>
      <c r="C38" s="19"/>
      <c r="D38" s="19"/>
      <c r="E38" s="19">
        <v>22245</v>
      </c>
      <c r="F38" s="19">
        <v>51540</v>
      </c>
    </row>
    <row r="39" spans="1:6" x14ac:dyDescent="0.25">
      <c r="A39" s="21" t="s">
        <v>28</v>
      </c>
      <c r="B39" s="19">
        <v>29295</v>
      </c>
      <c r="C39" s="19"/>
      <c r="D39" s="19"/>
      <c r="E39" s="19">
        <v>22245</v>
      </c>
      <c r="F39" s="19">
        <v>51540</v>
      </c>
    </row>
    <row r="40" spans="1:6" x14ac:dyDescent="0.25">
      <c r="A40" s="20" t="s">
        <v>21</v>
      </c>
      <c r="B40" s="19">
        <v>2797.2</v>
      </c>
      <c r="C40" s="19"/>
      <c r="D40" s="19"/>
      <c r="E40" s="19">
        <v>439.59999999999997</v>
      </c>
      <c r="F40" s="19">
        <v>3236.7999999999997</v>
      </c>
    </row>
    <row r="41" spans="1:6" x14ac:dyDescent="0.25">
      <c r="A41" s="21" t="s">
        <v>28</v>
      </c>
      <c r="B41" s="19">
        <v>2797.2</v>
      </c>
      <c r="C41" s="19"/>
      <c r="D41" s="19"/>
      <c r="E41" s="19">
        <v>439.59999999999997</v>
      </c>
      <c r="F41" s="19">
        <v>3236.7999999999997</v>
      </c>
    </row>
    <row r="42" spans="1:6" x14ac:dyDescent="0.25">
      <c r="A42" s="20" t="s">
        <v>18</v>
      </c>
      <c r="B42" s="19"/>
      <c r="C42" s="19">
        <v>44458.399999999994</v>
      </c>
      <c r="D42" s="19"/>
      <c r="E42" s="19"/>
      <c r="F42" s="19">
        <v>44458.399999999994</v>
      </c>
    </row>
    <row r="43" spans="1:6" x14ac:dyDescent="0.25">
      <c r="A43" s="21" t="s">
        <v>28</v>
      </c>
      <c r="B43" s="19"/>
      <c r="C43" s="19">
        <v>44458.399999999994</v>
      </c>
      <c r="D43" s="19"/>
      <c r="E43" s="19"/>
      <c r="F43" s="19">
        <v>44458.399999999994</v>
      </c>
    </row>
    <row r="44" spans="1:6" x14ac:dyDescent="0.25">
      <c r="A44" s="20" t="s">
        <v>22</v>
      </c>
      <c r="B44" s="19"/>
      <c r="C44" s="19">
        <v>26504.799999999996</v>
      </c>
      <c r="D44" s="19">
        <v>13708.8</v>
      </c>
      <c r="E44" s="19"/>
      <c r="F44" s="19">
        <v>40213.599999999991</v>
      </c>
    </row>
    <row r="45" spans="1:6" x14ac:dyDescent="0.25">
      <c r="A45" s="21" t="s">
        <v>28</v>
      </c>
      <c r="B45" s="19"/>
      <c r="C45" s="19">
        <v>26504.799999999996</v>
      </c>
      <c r="D45" s="19">
        <v>13708.8</v>
      </c>
      <c r="E45" s="19"/>
      <c r="F45" s="19">
        <v>40213.599999999991</v>
      </c>
    </row>
    <row r="46" spans="1:6" x14ac:dyDescent="0.25">
      <c r="A46" s="20" t="s">
        <v>23</v>
      </c>
      <c r="B46" s="19">
        <v>7274.4</v>
      </c>
      <c r="C46" s="19"/>
      <c r="D46" s="19">
        <v>5756.7999999999993</v>
      </c>
      <c r="E46" s="19"/>
      <c r="F46" s="19">
        <v>13031.199999999999</v>
      </c>
    </row>
    <row r="47" spans="1:6" x14ac:dyDescent="0.25">
      <c r="A47" s="21" t="s">
        <v>28</v>
      </c>
      <c r="B47" s="19">
        <v>7274.4</v>
      </c>
      <c r="C47" s="19"/>
      <c r="D47" s="19">
        <v>5756.7999999999993</v>
      </c>
      <c r="E47" s="19"/>
      <c r="F47" s="19">
        <v>13031.199999999999</v>
      </c>
    </row>
    <row r="48" spans="1:6" x14ac:dyDescent="0.25">
      <c r="A48" s="20" t="s">
        <v>37</v>
      </c>
      <c r="B48" s="19"/>
      <c r="C48" s="19">
        <v>6045.2</v>
      </c>
      <c r="D48" s="19"/>
      <c r="E48" s="19">
        <v>6622</v>
      </c>
      <c r="F48" s="19">
        <v>12667.2</v>
      </c>
    </row>
    <row r="49" spans="1:6" x14ac:dyDescent="0.25">
      <c r="A49" s="21" t="s">
        <v>28</v>
      </c>
      <c r="B49" s="19"/>
      <c r="C49" s="19">
        <v>6045.2</v>
      </c>
      <c r="D49" s="19"/>
      <c r="E49" s="19">
        <v>6622</v>
      </c>
      <c r="F49" s="19">
        <v>12667.2</v>
      </c>
    </row>
    <row r="50" spans="1:6" x14ac:dyDescent="0.25">
      <c r="A50" s="18" t="s">
        <v>488</v>
      </c>
      <c r="B50" s="19">
        <v>112857.59999999999</v>
      </c>
      <c r="C50" s="19">
        <v>228274.9</v>
      </c>
      <c r="D50" s="19">
        <v>79022.600000000006</v>
      </c>
      <c r="E50" s="19">
        <v>85813.85</v>
      </c>
      <c r="F50" s="19">
        <v>505968.94999999995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C3E5A-277B-40BC-8002-FEC65AAB0C9A}">
  <dimension ref="A3:C22"/>
  <sheetViews>
    <sheetView workbookViewId="0">
      <selection activeCell="A3" sqref="A3:C22"/>
    </sheetView>
  </sheetViews>
  <sheetFormatPr defaultRowHeight="13.2" x14ac:dyDescent="0.25"/>
  <cols>
    <col min="1" max="1" width="11.33203125" bestFit="1" customWidth="1"/>
    <col min="2" max="2" width="12.6640625" bestFit="1" customWidth="1"/>
    <col min="3" max="3" width="16" bestFit="1" customWidth="1"/>
    <col min="4" max="7" width="6" bestFit="1" customWidth="1"/>
    <col min="8" max="9" width="4" bestFit="1" customWidth="1"/>
    <col min="10" max="10" width="8" bestFit="1" customWidth="1"/>
    <col min="11" max="12" width="7" bestFit="1" customWidth="1"/>
    <col min="13" max="13" width="5" bestFit="1" customWidth="1"/>
    <col min="14" max="15" width="7" bestFit="1" customWidth="1"/>
    <col min="16" max="16" width="5" bestFit="1" customWidth="1"/>
    <col min="17" max="17" width="7" bestFit="1" customWidth="1"/>
    <col min="18" max="18" width="5" bestFit="1" customWidth="1"/>
    <col min="19" max="19" width="7" bestFit="1" customWidth="1"/>
    <col min="20" max="20" width="5" bestFit="1" customWidth="1"/>
    <col min="21" max="21" width="8" bestFit="1" customWidth="1"/>
    <col min="22" max="22" width="7" bestFit="1" customWidth="1"/>
    <col min="23" max="23" width="8" bestFit="1" customWidth="1"/>
    <col min="24" max="24" width="5" bestFit="1" customWidth="1"/>
    <col min="25" max="25" width="7" bestFit="1" customWidth="1"/>
    <col min="26" max="26" width="5" bestFit="1" customWidth="1"/>
    <col min="27" max="28" width="7" bestFit="1" customWidth="1"/>
    <col min="29" max="30" width="5" bestFit="1" customWidth="1"/>
    <col min="31" max="34" width="7" bestFit="1" customWidth="1"/>
    <col min="35" max="36" width="5" bestFit="1" customWidth="1"/>
    <col min="37" max="37" width="8" bestFit="1" customWidth="1"/>
    <col min="38" max="39" width="5" bestFit="1" customWidth="1"/>
    <col min="40" max="41" width="7" bestFit="1" customWidth="1"/>
    <col min="42" max="42" width="5" bestFit="1" customWidth="1"/>
    <col min="43" max="46" width="8" bestFit="1" customWidth="1"/>
    <col min="47" max="47" width="5" bestFit="1" customWidth="1"/>
    <col min="48" max="48" width="8" bestFit="1" customWidth="1"/>
    <col min="49" max="51" width="7" bestFit="1" customWidth="1"/>
    <col min="52" max="52" width="5" bestFit="1" customWidth="1"/>
    <col min="53" max="54" width="7" bestFit="1" customWidth="1"/>
    <col min="55" max="55" width="8" bestFit="1" customWidth="1"/>
    <col min="56" max="59" width="7" bestFit="1" customWidth="1"/>
    <col min="60" max="61" width="5" bestFit="1" customWidth="1"/>
    <col min="62" max="63" width="7" bestFit="1" customWidth="1"/>
    <col min="64" max="64" width="5" bestFit="1" customWidth="1"/>
    <col min="65" max="66" width="7" bestFit="1" customWidth="1"/>
    <col min="67" max="68" width="5" bestFit="1" customWidth="1"/>
    <col min="69" max="69" width="7" bestFit="1" customWidth="1"/>
    <col min="70" max="71" width="5" bestFit="1" customWidth="1"/>
    <col min="72" max="72" width="8" bestFit="1" customWidth="1"/>
    <col min="73" max="74" width="5" bestFit="1" customWidth="1"/>
    <col min="75" max="75" width="7" bestFit="1" customWidth="1"/>
    <col min="76" max="76" width="8" bestFit="1" customWidth="1"/>
    <col min="77" max="77" width="9" bestFit="1" customWidth="1"/>
    <col min="78" max="79" width="6" bestFit="1" customWidth="1"/>
    <col min="80" max="80" width="9" bestFit="1" customWidth="1"/>
    <col min="81" max="84" width="8" bestFit="1" customWidth="1"/>
    <col min="85" max="85" width="6" bestFit="1" customWidth="1"/>
    <col min="86" max="87" width="8" bestFit="1" customWidth="1"/>
    <col min="88" max="89" width="6" bestFit="1" customWidth="1"/>
    <col min="90" max="91" width="9" bestFit="1" customWidth="1"/>
    <col min="92" max="92" width="8" bestFit="1" customWidth="1"/>
    <col min="93" max="93" width="9" bestFit="1" customWidth="1"/>
    <col min="94" max="98" width="8" bestFit="1" customWidth="1"/>
    <col min="99" max="100" width="6" bestFit="1" customWidth="1"/>
    <col min="101" max="102" width="8" bestFit="1" customWidth="1"/>
    <col min="103" max="103" width="6" bestFit="1" customWidth="1"/>
    <col min="104" max="105" width="8" bestFit="1" customWidth="1"/>
    <col min="106" max="106" width="6" bestFit="1" customWidth="1"/>
    <col min="107" max="107" width="8" bestFit="1" customWidth="1"/>
    <col min="108" max="108" width="11.33203125" bestFit="1" customWidth="1"/>
  </cols>
  <sheetData>
    <row r="3" spans="1:3" x14ac:dyDescent="0.25">
      <c r="B3" t="s">
        <v>489</v>
      </c>
      <c r="C3" t="s">
        <v>491</v>
      </c>
    </row>
    <row r="4" spans="1:3" x14ac:dyDescent="0.25">
      <c r="A4" s="18">
        <v>2013</v>
      </c>
      <c r="B4" s="22"/>
      <c r="C4" s="23"/>
    </row>
    <row r="5" spans="1:3" x14ac:dyDescent="0.25">
      <c r="A5" s="20" t="s">
        <v>30</v>
      </c>
      <c r="B5" s="22">
        <v>186841.5</v>
      </c>
      <c r="C5" s="23">
        <v>5.7408843874470414E-2</v>
      </c>
    </row>
    <row r="6" spans="1:3" x14ac:dyDescent="0.25">
      <c r="A6" s="20" t="s">
        <v>38</v>
      </c>
      <c r="B6" s="22">
        <v>235785</v>
      </c>
      <c r="C6" s="23">
        <v>7.2447203929223464E-2</v>
      </c>
    </row>
    <row r="7" spans="1:3" x14ac:dyDescent="0.25">
      <c r="A7" s="20" t="s">
        <v>39</v>
      </c>
      <c r="B7" s="22">
        <v>232944</v>
      </c>
      <c r="C7" s="23">
        <v>7.1574279415946865E-2</v>
      </c>
    </row>
    <row r="8" spans="1:3" x14ac:dyDescent="0.25">
      <c r="A8" s="20" t="s">
        <v>32</v>
      </c>
      <c r="B8" s="22">
        <v>153345.75</v>
      </c>
      <c r="C8" s="23">
        <v>4.7116953249484568E-2</v>
      </c>
    </row>
    <row r="9" spans="1:3" x14ac:dyDescent="0.25">
      <c r="A9" s="20" t="s">
        <v>34</v>
      </c>
      <c r="B9" s="22">
        <v>199746.5</v>
      </c>
      <c r="C9" s="23">
        <v>6.1374028965577261E-2</v>
      </c>
    </row>
    <row r="10" spans="1:3" x14ac:dyDescent="0.25">
      <c r="A10" s="18">
        <v>2014</v>
      </c>
      <c r="B10" s="22"/>
      <c r="C10" s="23"/>
    </row>
    <row r="11" spans="1:3" x14ac:dyDescent="0.25">
      <c r="A11" s="20" t="s">
        <v>30</v>
      </c>
      <c r="B11" s="22">
        <v>205478</v>
      </c>
      <c r="C11" s="23">
        <v>6.3135087342150606E-2</v>
      </c>
    </row>
    <row r="12" spans="1:3" x14ac:dyDescent="0.25">
      <c r="A12" s="20" t="s">
        <v>38</v>
      </c>
      <c r="B12" s="22">
        <v>252776</v>
      </c>
      <c r="C12" s="23">
        <v>7.766785173108294E-2</v>
      </c>
    </row>
    <row r="13" spans="1:3" x14ac:dyDescent="0.25">
      <c r="A13" s="20" t="s">
        <v>39</v>
      </c>
      <c r="B13" s="22">
        <v>269723</v>
      </c>
      <c r="C13" s="23">
        <v>8.2874980110702295E-2</v>
      </c>
    </row>
    <row r="14" spans="1:3" x14ac:dyDescent="0.25">
      <c r="A14" s="20" t="s">
        <v>32</v>
      </c>
      <c r="B14" s="22">
        <v>180369</v>
      </c>
      <c r="C14" s="23">
        <v>5.5420106136989659E-2</v>
      </c>
    </row>
    <row r="15" spans="1:3" x14ac:dyDescent="0.25">
      <c r="A15" s="20" t="s">
        <v>34</v>
      </c>
      <c r="B15" s="22">
        <v>230340</v>
      </c>
      <c r="C15" s="23">
        <v>7.0774175427009062E-2</v>
      </c>
    </row>
    <row r="16" spans="1:3" x14ac:dyDescent="0.25">
      <c r="A16" s="18">
        <v>2015</v>
      </c>
      <c r="B16" s="22"/>
      <c r="C16" s="23"/>
    </row>
    <row r="17" spans="1:3" x14ac:dyDescent="0.25">
      <c r="A17" s="20" t="s">
        <v>30</v>
      </c>
      <c r="B17" s="22">
        <v>204610.40000000002</v>
      </c>
      <c r="C17" s="23">
        <v>6.2868508916343227E-2</v>
      </c>
    </row>
    <row r="18" spans="1:3" x14ac:dyDescent="0.25">
      <c r="A18" s="20" t="s">
        <v>38</v>
      </c>
      <c r="B18" s="22">
        <v>252017.40000000002</v>
      </c>
      <c r="C18" s="23">
        <v>7.7434764601279488E-2</v>
      </c>
    </row>
    <row r="19" spans="1:3" x14ac:dyDescent="0.25">
      <c r="A19" s="20" t="s">
        <v>39</v>
      </c>
      <c r="B19" s="22">
        <v>257455.79999999996</v>
      </c>
      <c r="C19" s="23">
        <v>7.9105765190157842E-2</v>
      </c>
    </row>
    <row r="20" spans="1:3" x14ac:dyDescent="0.25">
      <c r="A20" s="20" t="s">
        <v>32</v>
      </c>
      <c r="B20" s="22">
        <v>172254.2</v>
      </c>
      <c r="C20" s="23">
        <v>5.2926755964396568E-2</v>
      </c>
    </row>
    <row r="21" spans="1:3" x14ac:dyDescent="0.25">
      <c r="A21" s="20" t="s">
        <v>34</v>
      </c>
      <c r="B21" s="22">
        <v>220890.39999999994</v>
      </c>
      <c r="C21" s="23">
        <v>6.7870695145186247E-2</v>
      </c>
    </row>
    <row r="22" spans="1:3" x14ac:dyDescent="0.25">
      <c r="A22" s="18" t="s">
        <v>488</v>
      </c>
      <c r="B22" s="22">
        <v>3254576.9499999983</v>
      </c>
      <c r="C22" s="23">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5CCB6-6589-4124-8E64-480132D3AB18}">
  <dimension ref="A1:C28"/>
  <sheetViews>
    <sheetView tabSelected="1" workbookViewId="0">
      <selection activeCell="R15" sqref="R15"/>
    </sheetView>
  </sheetViews>
  <sheetFormatPr defaultRowHeight="13.2" x14ac:dyDescent="0.25"/>
  <cols>
    <col min="1" max="1" width="13.5546875" bestFit="1" customWidth="1"/>
    <col min="2" max="2" width="12.6640625" bestFit="1" customWidth="1"/>
    <col min="3" max="3" width="22.77734375" bestFit="1" customWidth="1"/>
  </cols>
  <sheetData>
    <row r="1" spans="1:3" x14ac:dyDescent="0.25">
      <c r="A1" s="17" t="s">
        <v>0</v>
      </c>
      <c r="B1" t="s">
        <v>493</v>
      </c>
    </row>
    <row r="3" spans="1:3" x14ac:dyDescent="0.25">
      <c r="B3" t="s">
        <v>489</v>
      </c>
      <c r="C3" t="s">
        <v>492</v>
      </c>
    </row>
    <row r="4" spans="1:3" x14ac:dyDescent="0.25">
      <c r="A4" s="18">
        <v>2013</v>
      </c>
      <c r="B4" s="22">
        <v>1008662.75</v>
      </c>
      <c r="C4" s="23"/>
    </row>
    <row r="5" spans="1:3" x14ac:dyDescent="0.25">
      <c r="A5" s="20" t="s">
        <v>20</v>
      </c>
      <c r="B5" s="22">
        <v>171668</v>
      </c>
      <c r="C5" s="23"/>
    </row>
    <row r="6" spans="1:3" x14ac:dyDescent="0.25">
      <c r="A6" s="20" t="s">
        <v>19</v>
      </c>
      <c r="B6" s="22">
        <v>165964.75</v>
      </c>
      <c r="C6" s="23">
        <v>-3.3222557494699073E-2</v>
      </c>
    </row>
    <row r="7" spans="1:3" x14ac:dyDescent="0.25">
      <c r="A7" s="20" t="s">
        <v>21</v>
      </c>
      <c r="B7" s="22">
        <v>125317.5</v>
      </c>
      <c r="C7" s="23">
        <v>-0.24491495935130803</v>
      </c>
    </row>
    <row r="8" spans="1:3" x14ac:dyDescent="0.25">
      <c r="A8" s="20" t="s">
        <v>18</v>
      </c>
      <c r="B8" s="22">
        <v>192920</v>
      </c>
      <c r="C8" s="23">
        <v>0.53944979751431366</v>
      </c>
    </row>
    <row r="9" spans="1:3" x14ac:dyDescent="0.25">
      <c r="A9" s="20" t="s">
        <v>22</v>
      </c>
      <c r="B9" s="22">
        <v>129070</v>
      </c>
      <c r="C9" s="23">
        <v>-0.33096620360771306</v>
      </c>
    </row>
    <row r="10" spans="1:3" x14ac:dyDescent="0.25">
      <c r="A10" s="20" t="s">
        <v>23</v>
      </c>
      <c r="B10" s="22">
        <v>119947.5</v>
      </c>
      <c r="C10" s="23">
        <v>-7.0678701479817155E-2</v>
      </c>
    </row>
    <row r="11" spans="1:3" x14ac:dyDescent="0.25">
      <c r="A11" s="20" t="s">
        <v>37</v>
      </c>
      <c r="B11" s="22">
        <v>103775</v>
      </c>
      <c r="C11" s="23">
        <v>-0.13482982138018718</v>
      </c>
    </row>
    <row r="12" spans="1:3" x14ac:dyDescent="0.25">
      <c r="A12" s="18">
        <v>2014</v>
      </c>
      <c r="B12" s="22">
        <v>1138686</v>
      </c>
      <c r="C12" s="23"/>
    </row>
    <row r="13" spans="1:3" x14ac:dyDescent="0.25">
      <c r="A13" s="20" t="s">
        <v>20</v>
      </c>
      <c r="B13" s="22">
        <v>170834</v>
      </c>
      <c r="C13" s="23"/>
    </row>
    <row r="14" spans="1:3" x14ac:dyDescent="0.25">
      <c r="A14" s="20" t="s">
        <v>19</v>
      </c>
      <c r="B14" s="22">
        <v>177690</v>
      </c>
      <c r="C14" s="23">
        <v>4.0132526312092444E-2</v>
      </c>
    </row>
    <row r="15" spans="1:3" x14ac:dyDescent="0.25">
      <c r="A15" s="20" t="s">
        <v>21</v>
      </c>
      <c r="B15" s="22">
        <v>150381</v>
      </c>
      <c r="C15" s="23">
        <v>-0.15368900894816817</v>
      </c>
    </row>
    <row r="16" spans="1:3" x14ac:dyDescent="0.25">
      <c r="A16" s="20" t="s">
        <v>18</v>
      </c>
      <c r="B16" s="22">
        <v>231504</v>
      </c>
      <c r="C16" s="23">
        <v>0.53944979751431366</v>
      </c>
    </row>
    <row r="17" spans="1:3" x14ac:dyDescent="0.25">
      <c r="A17" s="20" t="s">
        <v>22</v>
      </c>
      <c r="B17" s="22">
        <v>154884</v>
      </c>
      <c r="C17" s="23">
        <v>-0.33096620360771306</v>
      </c>
    </row>
    <row r="18" spans="1:3" x14ac:dyDescent="0.25">
      <c r="A18" s="20" t="s">
        <v>23</v>
      </c>
      <c r="B18" s="22">
        <v>128863</v>
      </c>
      <c r="C18" s="23">
        <v>-0.16800315074507374</v>
      </c>
    </row>
    <row r="19" spans="1:3" x14ac:dyDescent="0.25">
      <c r="A19" s="20" t="s">
        <v>37</v>
      </c>
      <c r="B19" s="22">
        <v>124530</v>
      </c>
      <c r="C19" s="23">
        <v>-3.3624857406703242E-2</v>
      </c>
    </row>
    <row r="20" spans="1:3" x14ac:dyDescent="0.25">
      <c r="A20" s="18">
        <v>2015</v>
      </c>
      <c r="B20" s="22">
        <v>1107228.2</v>
      </c>
      <c r="C20" s="23"/>
    </row>
    <row r="21" spans="1:3" x14ac:dyDescent="0.25">
      <c r="A21" s="20" t="s">
        <v>20</v>
      </c>
      <c r="B21" s="22">
        <v>170834</v>
      </c>
      <c r="C21" s="23"/>
    </row>
    <row r="22" spans="1:3" x14ac:dyDescent="0.25">
      <c r="A22" s="20" t="s">
        <v>19</v>
      </c>
      <c r="B22" s="22">
        <v>177690</v>
      </c>
      <c r="C22" s="23">
        <v>4.0132526312092444E-2</v>
      </c>
    </row>
    <row r="23" spans="1:3" x14ac:dyDescent="0.25">
      <c r="A23" s="20" t="s">
        <v>21</v>
      </c>
      <c r="B23" s="22">
        <v>147506.20000000001</v>
      </c>
      <c r="C23" s="23">
        <v>-0.16986774720018002</v>
      </c>
    </row>
    <row r="24" spans="1:3" x14ac:dyDescent="0.25">
      <c r="A24" s="20" t="s">
        <v>18</v>
      </c>
      <c r="B24" s="22">
        <v>216070.39999999994</v>
      </c>
      <c r="C24" s="23">
        <v>0.46482249559679473</v>
      </c>
    </row>
    <row r="25" spans="1:3" x14ac:dyDescent="0.25">
      <c r="A25" s="20" t="s">
        <v>22</v>
      </c>
      <c r="B25" s="22">
        <v>144558.40000000002</v>
      </c>
      <c r="C25" s="23">
        <v>-0.33096620360771273</v>
      </c>
    </row>
    <row r="26" spans="1:3" x14ac:dyDescent="0.25">
      <c r="A26" s="20" t="s">
        <v>23</v>
      </c>
      <c r="B26" s="22">
        <v>134341.19999999995</v>
      </c>
      <c r="C26" s="23">
        <v>-7.0678701479817627E-2</v>
      </c>
    </row>
    <row r="27" spans="1:3" x14ac:dyDescent="0.25">
      <c r="A27" s="20" t="s">
        <v>37</v>
      </c>
      <c r="B27" s="22">
        <v>116228</v>
      </c>
      <c r="C27" s="23">
        <v>-0.13482982138018687</v>
      </c>
    </row>
    <row r="28" spans="1:3" x14ac:dyDescent="0.25">
      <c r="A28" s="18" t="s">
        <v>488</v>
      </c>
      <c r="B28" s="22">
        <v>3254576.95</v>
      </c>
      <c r="C28" s="2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H448"/>
  <sheetViews>
    <sheetView topLeftCell="A54" workbookViewId="0">
      <selection activeCell="D6" sqref="D6"/>
    </sheetView>
  </sheetViews>
  <sheetFormatPr defaultColWidth="9.109375" defaultRowHeight="12.6" x14ac:dyDescent="0.25"/>
  <cols>
    <col min="1" max="1" width="9.109375" style="8"/>
    <col min="2" max="2" width="12.109375" style="8" customWidth="1"/>
    <col min="3" max="3" width="12.88671875" style="8" customWidth="1"/>
    <col min="4" max="4" width="16.44140625" style="8" customWidth="1"/>
    <col min="5" max="5" width="10.44140625" style="8" customWidth="1"/>
    <col min="6" max="6" width="11.77734375" style="8" bestFit="1" customWidth="1"/>
    <col min="7" max="8" width="11.109375" style="8" customWidth="1"/>
    <col min="9" max="16384" width="9.109375" style="8"/>
  </cols>
  <sheetData>
    <row r="1" spans="1:8" ht="18" x14ac:dyDescent="0.35">
      <c r="A1" s="24" t="s">
        <v>40</v>
      </c>
      <c r="B1" s="24"/>
      <c r="C1" s="24"/>
      <c r="D1" s="24"/>
      <c r="E1" s="24"/>
      <c r="F1" s="24"/>
      <c r="G1" s="24"/>
      <c r="H1" s="24"/>
    </row>
    <row r="2" spans="1:8" ht="18" x14ac:dyDescent="0.35">
      <c r="A2" s="25" t="s">
        <v>486</v>
      </c>
      <c r="B2" s="25"/>
      <c r="C2" s="25"/>
      <c r="D2" s="25"/>
      <c r="E2" s="25"/>
      <c r="F2" s="25"/>
      <c r="G2" s="25"/>
      <c r="H2" s="25"/>
    </row>
    <row r="3" spans="1:8" ht="8.25" customHeight="1" x14ac:dyDescent="0.35">
      <c r="B3" s="9"/>
      <c r="C3" s="10"/>
      <c r="D3" s="9"/>
      <c r="E3" s="10"/>
      <c r="F3" s="10"/>
      <c r="G3" s="10"/>
    </row>
    <row r="4" spans="1:8" s="11" customFormat="1" ht="16.2" thickBot="1" x14ac:dyDescent="0.35">
      <c r="A4" s="15" t="s">
        <v>17</v>
      </c>
      <c r="B4" s="15" t="s">
        <v>16</v>
      </c>
      <c r="C4" s="15" t="s">
        <v>29</v>
      </c>
      <c r="D4" s="15" t="s">
        <v>0</v>
      </c>
      <c r="E4" s="15" t="s">
        <v>25</v>
      </c>
      <c r="F4" s="15" t="s">
        <v>4</v>
      </c>
      <c r="G4" s="15" t="s">
        <v>2</v>
      </c>
      <c r="H4" s="15" t="s">
        <v>41</v>
      </c>
    </row>
    <row r="5" spans="1:8" x14ac:dyDescent="0.25">
      <c r="A5" s="8">
        <v>2013</v>
      </c>
      <c r="B5" s="8" t="s">
        <v>20</v>
      </c>
      <c r="C5" s="8" t="s">
        <v>24</v>
      </c>
      <c r="D5" s="8" t="s">
        <v>30</v>
      </c>
      <c r="E5" s="8" t="s">
        <v>27</v>
      </c>
      <c r="F5" s="12">
        <f t="shared" ref="F5:F10" si="0">G5*1.5</f>
        <v>2395.5</v>
      </c>
      <c r="G5" s="8">
        <v>1597</v>
      </c>
      <c r="H5" s="14" t="s">
        <v>42</v>
      </c>
    </row>
    <row r="6" spans="1:8" x14ac:dyDescent="0.25">
      <c r="A6" s="8">
        <v>2013</v>
      </c>
      <c r="B6" s="8" t="s">
        <v>20</v>
      </c>
      <c r="C6" s="8" t="s">
        <v>24</v>
      </c>
      <c r="D6" s="8" t="s">
        <v>30</v>
      </c>
      <c r="E6" s="8" t="s">
        <v>27</v>
      </c>
      <c r="F6" s="12">
        <f t="shared" si="0"/>
        <v>11761.5</v>
      </c>
      <c r="G6" s="8">
        <v>7841</v>
      </c>
      <c r="H6" s="14" t="s">
        <v>43</v>
      </c>
    </row>
    <row r="7" spans="1:8" x14ac:dyDescent="0.25">
      <c r="A7" s="8">
        <v>2013</v>
      </c>
      <c r="B7" s="8" t="s">
        <v>20</v>
      </c>
      <c r="C7" s="8" t="s">
        <v>31</v>
      </c>
      <c r="D7" s="8" t="s">
        <v>30</v>
      </c>
      <c r="E7" s="8" t="s">
        <v>27</v>
      </c>
      <c r="F7" s="12">
        <f t="shared" si="0"/>
        <v>8943</v>
      </c>
      <c r="G7" s="8">
        <v>5962</v>
      </c>
      <c r="H7" s="14" t="s">
        <v>44</v>
      </c>
    </row>
    <row r="8" spans="1:8" x14ac:dyDescent="0.25">
      <c r="A8" s="8">
        <v>2013</v>
      </c>
      <c r="B8" s="8" t="s">
        <v>20</v>
      </c>
      <c r="C8" s="8" t="s">
        <v>24</v>
      </c>
      <c r="D8" s="8" t="s">
        <v>30</v>
      </c>
      <c r="E8" s="8" t="s">
        <v>27</v>
      </c>
      <c r="F8" s="12">
        <f t="shared" si="0"/>
        <v>2395.5</v>
      </c>
      <c r="G8" s="8">
        <v>1597</v>
      </c>
      <c r="H8" s="14" t="s">
        <v>45</v>
      </c>
    </row>
    <row r="9" spans="1:8" x14ac:dyDescent="0.25">
      <c r="A9" s="8">
        <v>2013</v>
      </c>
      <c r="B9" s="8" t="s">
        <v>20</v>
      </c>
      <c r="C9" s="8" t="s">
        <v>24</v>
      </c>
      <c r="D9" s="8" t="s">
        <v>30</v>
      </c>
      <c r="E9" s="8" t="s">
        <v>27</v>
      </c>
      <c r="F9" s="12">
        <f t="shared" si="0"/>
        <v>11761.5</v>
      </c>
      <c r="G9" s="8">
        <v>7841</v>
      </c>
      <c r="H9" s="14" t="s">
        <v>46</v>
      </c>
    </row>
    <row r="10" spans="1:8" x14ac:dyDescent="0.25">
      <c r="A10" s="8">
        <v>2013</v>
      </c>
      <c r="B10" s="8" t="s">
        <v>20</v>
      </c>
      <c r="C10" s="8" t="s">
        <v>31</v>
      </c>
      <c r="D10" s="8" t="s">
        <v>30</v>
      </c>
      <c r="E10" s="8" t="s">
        <v>27</v>
      </c>
      <c r="F10" s="12">
        <f t="shared" si="0"/>
        <v>8943</v>
      </c>
      <c r="G10" s="8">
        <v>5962</v>
      </c>
      <c r="H10" s="14" t="s">
        <v>47</v>
      </c>
    </row>
    <row r="11" spans="1:8" x14ac:dyDescent="0.25">
      <c r="A11" s="8">
        <v>2013</v>
      </c>
      <c r="B11" s="8" t="s">
        <v>20</v>
      </c>
      <c r="C11" s="8" t="s">
        <v>31</v>
      </c>
      <c r="D11" s="13" t="s">
        <v>38</v>
      </c>
      <c r="E11" s="8" t="s">
        <v>35</v>
      </c>
      <c r="F11" s="12">
        <v>14596.5</v>
      </c>
      <c r="G11" s="8">
        <v>9731</v>
      </c>
      <c r="H11" s="14" t="s">
        <v>48</v>
      </c>
    </row>
    <row r="12" spans="1:8" x14ac:dyDescent="0.25">
      <c r="A12" s="8">
        <v>2013</v>
      </c>
      <c r="B12" s="8" t="s">
        <v>20</v>
      </c>
      <c r="C12" s="8" t="s">
        <v>33</v>
      </c>
      <c r="D12" s="13" t="s">
        <v>38</v>
      </c>
      <c r="E12" s="8" t="s">
        <v>35</v>
      </c>
      <c r="F12" s="12">
        <v>8793</v>
      </c>
      <c r="G12" s="8">
        <v>5862</v>
      </c>
      <c r="H12" s="14" t="s">
        <v>49</v>
      </c>
    </row>
    <row r="13" spans="1:8" x14ac:dyDescent="0.25">
      <c r="A13" s="8">
        <v>2013</v>
      </c>
      <c r="B13" s="8" t="s">
        <v>20</v>
      </c>
      <c r="C13" s="8" t="s">
        <v>31</v>
      </c>
      <c r="D13" s="13" t="s">
        <v>38</v>
      </c>
      <c r="E13" s="8" t="s">
        <v>35</v>
      </c>
      <c r="F13" s="12">
        <v>14596.5</v>
      </c>
      <c r="G13" s="8">
        <v>9731</v>
      </c>
      <c r="H13" s="14" t="s">
        <v>50</v>
      </c>
    </row>
    <row r="14" spans="1:8" x14ac:dyDescent="0.25">
      <c r="A14" s="8">
        <v>2013</v>
      </c>
      <c r="B14" s="8" t="s">
        <v>20</v>
      </c>
      <c r="C14" s="8" t="s">
        <v>33</v>
      </c>
      <c r="D14" s="13" t="s">
        <v>38</v>
      </c>
      <c r="E14" s="8" t="s">
        <v>35</v>
      </c>
      <c r="F14" s="12">
        <v>8793</v>
      </c>
      <c r="G14" s="8">
        <v>5862</v>
      </c>
      <c r="H14" s="14" t="s">
        <v>51</v>
      </c>
    </row>
    <row r="15" spans="1:8" x14ac:dyDescent="0.25">
      <c r="A15" s="8">
        <v>2013</v>
      </c>
      <c r="B15" s="8" t="s">
        <v>20</v>
      </c>
      <c r="C15" s="8" t="s">
        <v>24</v>
      </c>
      <c r="D15" s="13" t="s">
        <v>39</v>
      </c>
      <c r="E15" s="13" t="s">
        <v>26</v>
      </c>
      <c r="F15" s="12">
        <v>4666</v>
      </c>
      <c r="G15" s="8">
        <v>5623</v>
      </c>
      <c r="H15" s="14" t="s">
        <v>52</v>
      </c>
    </row>
    <row r="16" spans="1:8" x14ac:dyDescent="0.25">
      <c r="A16" s="8">
        <v>2013</v>
      </c>
      <c r="B16" s="8" t="s">
        <v>20</v>
      </c>
      <c r="C16" s="8" t="s">
        <v>24</v>
      </c>
      <c r="D16" s="13" t="s">
        <v>39</v>
      </c>
      <c r="E16" s="13" t="s">
        <v>26</v>
      </c>
      <c r="F16" s="12">
        <f>G16*1.5</f>
        <v>7318.5</v>
      </c>
      <c r="G16" s="8">
        <v>4879</v>
      </c>
      <c r="H16" s="14" t="s">
        <v>53</v>
      </c>
    </row>
    <row r="17" spans="1:8" x14ac:dyDescent="0.25">
      <c r="A17" s="8">
        <v>2013</v>
      </c>
      <c r="B17" s="8" t="s">
        <v>20</v>
      </c>
      <c r="C17" s="8" t="s">
        <v>24</v>
      </c>
      <c r="D17" s="13" t="s">
        <v>39</v>
      </c>
      <c r="E17" s="13" t="s">
        <v>26</v>
      </c>
      <c r="F17" s="12">
        <v>5500</v>
      </c>
      <c r="G17" s="8">
        <v>5623</v>
      </c>
      <c r="H17" s="14" t="s">
        <v>54</v>
      </c>
    </row>
    <row r="18" spans="1:8" x14ac:dyDescent="0.25">
      <c r="A18" s="8">
        <v>2013</v>
      </c>
      <c r="B18" s="8" t="s">
        <v>20</v>
      </c>
      <c r="C18" s="8" t="s">
        <v>24</v>
      </c>
      <c r="D18" s="13" t="s">
        <v>39</v>
      </c>
      <c r="E18" s="13" t="s">
        <v>26</v>
      </c>
      <c r="F18" s="12">
        <f t="shared" ref="F18:F26" si="1">G18*1.5</f>
        <v>7318.5</v>
      </c>
      <c r="G18" s="8">
        <v>4879</v>
      </c>
      <c r="H18" s="14" t="s">
        <v>55</v>
      </c>
    </row>
    <row r="19" spans="1:8" x14ac:dyDescent="0.25">
      <c r="A19" s="8">
        <v>2013</v>
      </c>
      <c r="B19" s="8" t="s">
        <v>20</v>
      </c>
      <c r="C19" s="8" t="s">
        <v>36</v>
      </c>
      <c r="D19" s="8" t="s">
        <v>32</v>
      </c>
      <c r="E19" s="13" t="s">
        <v>28</v>
      </c>
      <c r="F19" s="12">
        <f t="shared" si="1"/>
        <v>3553.5</v>
      </c>
      <c r="G19" s="8">
        <v>2369</v>
      </c>
      <c r="H19" s="14" t="s">
        <v>56</v>
      </c>
    </row>
    <row r="20" spans="1:8" x14ac:dyDescent="0.25">
      <c r="A20" s="8">
        <v>2013</v>
      </c>
      <c r="B20" s="8" t="s">
        <v>20</v>
      </c>
      <c r="C20" s="8" t="s">
        <v>36</v>
      </c>
      <c r="D20" s="8" t="s">
        <v>32</v>
      </c>
      <c r="E20" s="13" t="s">
        <v>28</v>
      </c>
      <c r="F20" s="12">
        <f t="shared" si="1"/>
        <v>3553.5</v>
      </c>
      <c r="G20" s="8">
        <v>2369</v>
      </c>
      <c r="H20" s="14" t="s">
        <v>57</v>
      </c>
    </row>
    <row r="21" spans="1:8" x14ac:dyDescent="0.25">
      <c r="A21" s="8">
        <v>2013</v>
      </c>
      <c r="B21" s="8" t="s">
        <v>20</v>
      </c>
      <c r="C21" s="8" t="s">
        <v>31</v>
      </c>
      <c r="D21" s="8" t="s">
        <v>34</v>
      </c>
      <c r="E21" s="8" t="s">
        <v>35</v>
      </c>
      <c r="F21" s="12">
        <f t="shared" si="1"/>
        <v>14596.5</v>
      </c>
      <c r="G21" s="8">
        <v>9731</v>
      </c>
      <c r="H21" s="14" t="s">
        <v>58</v>
      </c>
    </row>
    <row r="22" spans="1:8" x14ac:dyDescent="0.25">
      <c r="A22" s="8">
        <v>2013</v>
      </c>
      <c r="B22" s="8" t="s">
        <v>20</v>
      </c>
      <c r="C22" s="8" t="s">
        <v>33</v>
      </c>
      <c r="D22" s="8" t="s">
        <v>34</v>
      </c>
      <c r="E22" s="8" t="s">
        <v>35</v>
      </c>
      <c r="F22" s="12">
        <f t="shared" si="1"/>
        <v>8793</v>
      </c>
      <c r="G22" s="8">
        <v>5862</v>
      </c>
      <c r="H22" s="14" t="s">
        <v>59</v>
      </c>
    </row>
    <row r="23" spans="1:8" x14ac:dyDescent="0.25">
      <c r="A23" s="8">
        <v>2013</v>
      </c>
      <c r="B23" s="8" t="s">
        <v>20</v>
      </c>
      <c r="C23" s="8" t="s">
        <v>31</v>
      </c>
      <c r="D23" s="8" t="s">
        <v>34</v>
      </c>
      <c r="E23" s="8" t="s">
        <v>35</v>
      </c>
      <c r="F23" s="12">
        <f t="shared" si="1"/>
        <v>14596.5</v>
      </c>
      <c r="G23" s="8">
        <v>9731</v>
      </c>
      <c r="H23" s="14" t="s">
        <v>60</v>
      </c>
    </row>
    <row r="24" spans="1:8" x14ac:dyDescent="0.25">
      <c r="A24" s="8">
        <v>2013</v>
      </c>
      <c r="B24" s="8" t="s">
        <v>20</v>
      </c>
      <c r="C24" s="8" t="s">
        <v>33</v>
      </c>
      <c r="D24" s="8" t="s">
        <v>34</v>
      </c>
      <c r="E24" s="8" t="s">
        <v>35</v>
      </c>
      <c r="F24" s="12">
        <f t="shared" si="1"/>
        <v>8793</v>
      </c>
      <c r="G24" s="8">
        <v>5862</v>
      </c>
      <c r="H24" s="14" t="s">
        <v>61</v>
      </c>
    </row>
    <row r="25" spans="1:8" x14ac:dyDescent="0.25">
      <c r="A25" s="8">
        <v>2013</v>
      </c>
      <c r="B25" s="8" t="s">
        <v>19</v>
      </c>
      <c r="C25" s="8" t="s">
        <v>24</v>
      </c>
      <c r="D25" s="8" t="s">
        <v>30</v>
      </c>
      <c r="E25" s="8" t="s">
        <v>27</v>
      </c>
      <c r="F25" s="12">
        <f t="shared" si="1"/>
        <v>4887</v>
      </c>
      <c r="G25" s="8">
        <v>3258</v>
      </c>
      <c r="H25" s="14" t="s">
        <v>62</v>
      </c>
    </row>
    <row r="26" spans="1:8" x14ac:dyDescent="0.25">
      <c r="A26" s="8">
        <v>2013</v>
      </c>
      <c r="B26" s="8" t="s">
        <v>19</v>
      </c>
      <c r="C26" s="8" t="s">
        <v>24</v>
      </c>
      <c r="D26" s="8" t="s">
        <v>30</v>
      </c>
      <c r="E26" s="8" t="s">
        <v>27</v>
      </c>
      <c r="F26" s="12">
        <f t="shared" si="1"/>
        <v>4887</v>
      </c>
      <c r="G26" s="8">
        <v>3258</v>
      </c>
      <c r="H26" s="14" t="s">
        <v>63</v>
      </c>
    </row>
    <row r="27" spans="1:8" x14ac:dyDescent="0.25">
      <c r="A27" s="8">
        <v>2013</v>
      </c>
      <c r="B27" s="8" t="s">
        <v>19</v>
      </c>
      <c r="C27" s="8" t="s">
        <v>33</v>
      </c>
      <c r="D27" s="13" t="s">
        <v>38</v>
      </c>
      <c r="E27" s="8" t="s">
        <v>35</v>
      </c>
      <c r="F27" s="12">
        <v>11122.5</v>
      </c>
      <c r="G27" s="8">
        <v>7415</v>
      </c>
      <c r="H27" s="14" t="s">
        <v>64</v>
      </c>
    </row>
    <row r="28" spans="1:8" x14ac:dyDescent="0.25">
      <c r="A28" s="8">
        <v>2013</v>
      </c>
      <c r="B28" s="8" t="s">
        <v>19</v>
      </c>
      <c r="C28" s="8" t="s">
        <v>24</v>
      </c>
      <c r="D28" s="13" t="s">
        <v>38</v>
      </c>
      <c r="E28" s="8" t="s">
        <v>35</v>
      </c>
      <c r="F28" s="12">
        <v>13428</v>
      </c>
      <c r="G28" s="8">
        <v>8952</v>
      </c>
      <c r="H28" s="14" t="s">
        <v>65</v>
      </c>
    </row>
    <row r="29" spans="1:8" x14ac:dyDescent="0.25">
      <c r="A29" s="8">
        <v>2013</v>
      </c>
      <c r="B29" s="8" t="s">
        <v>19</v>
      </c>
      <c r="C29" s="8" t="s">
        <v>33</v>
      </c>
      <c r="D29" s="13" t="s">
        <v>38</v>
      </c>
      <c r="E29" s="8" t="s">
        <v>35</v>
      </c>
      <c r="F29" s="12">
        <v>14000</v>
      </c>
      <c r="G29" s="8">
        <v>7415</v>
      </c>
      <c r="H29" s="14" t="s">
        <v>66</v>
      </c>
    </row>
    <row r="30" spans="1:8" x14ac:dyDescent="0.25">
      <c r="A30" s="8">
        <v>2013</v>
      </c>
      <c r="B30" s="8" t="s">
        <v>19</v>
      </c>
      <c r="C30" s="8" t="s">
        <v>24</v>
      </c>
      <c r="D30" s="13" t="s">
        <v>38</v>
      </c>
      <c r="E30" s="8" t="s">
        <v>35</v>
      </c>
      <c r="F30" s="12">
        <v>13428</v>
      </c>
      <c r="G30" s="8">
        <v>8952</v>
      </c>
      <c r="H30" s="14" t="s">
        <v>67</v>
      </c>
    </row>
    <row r="31" spans="1:8" x14ac:dyDescent="0.25">
      <c r="A31" s="8">
        <v>2013</v>
      </c>
      <c r="B31" s="8" t="s">
        <v>19</v>
      </c>
      <c r="C31" s="8" t="s">
        <v>31</v>
      </c>
      <c r="D31" s="13" t="s">
        <v>39</v>
      </c>
      <c r="E31" s="13" t="s">
        <v>26</v>
      </c>
      <c r="F31" s="12">
        <v>3897</v>
      </c>
      <c r="G31" s="8">
        <v>2598</v>
      </c>
      <c r="H31" s="14" t="s">
        <v>68</v>
      </c>
    </row>
    <row r="32" spans="1:8" x14ac:dyDescent="0.25">
      <c r="A32" s="8">
        <v>2013</v>
      </c>
      <c r="B32" s="8" t="s">
        <v>19</v>
      </c>
      <c r="C32" s="8" t="s">
        <v>31</v>
      </c>
      <c r="D32" s="13" t="s">
        <v>39</v>
      </c>
      <c r="E32" s="13" t="s">
        <v>26</v>
      </c>
      <c r="F32" s="12">
        <v>8832</v>
      </c>
      <c r="G32" s="8">
        <v>5888</v>
      </c>
      <c r="H32" s="14" t="s">
        <v>69</v>
      </c>
    </row>
    <row r="33" spans="1:8" x14ac:dyDescent="0.25">
      <c r="A33" s="8">
        <v>2013</v>
      </c>
      <c r="B33" s="8" t="s">
        <v>19</v>
      </c>
      <c r="C33" s="8" t="s">
        <v>31</v>
      </c>
      <c r="D33" s="13" t="s">
        <v>39</v>
      </c>
      <c r="E33" s="13" t="s">
        <v>26</v>
      </c>
      <c r="F33" s="12">
        <v>3000</v>
      </c>
      <c r="G33" s="8">
        <v>2598</v>
      </c>
      <c r="H33" s="14" t="s">
        <v>70</v>
      </c>
    </row>
    <row r="34" spans="1:8" x14ac:dyDescent="0.25">
      <c r="A34" s="8">
        <v>2013</v>
      </c>
      <c r="B34" s="8" t="s">
        <v>19</v>
      </c>
      <c r="C34" s="8" t="s">
        <v>31</v>
      </c>
      <c r="D34" s="13" t="s">
        <v>39</v>
      </c>
      <c r="E34" s="13" t="s">
        <v>26</v>
      </c>
      <c r="F34" s="12">
        <v>8832</v>
      </c>
      <c r="G34" s="8">
        <v>5888</v>
      </c>
      <c r="H34" s="14" t="s">
        <v>71</v>
      </c>
    </row>
    <row r="35" spans="1:8" x14ac:dyDescent="0.25">
      <c r="A35" s="8">
        <v>2013</v>
      </c>
      <c r="B35" s="8" t="s">
        <v>19</v>
      </c>
      <c r="C35" s="8" t="s">
        <v>33</v>
      </c>
      <c r="D35" s="8" t="s">
        <v>32</v>
      </c>
      <c r="E35" s="13" t="s">
        <v>28</v>
      </c>
      <c r="F35" s="12">
        <f t="shared" ref="F35" si="2">G35*1.5</f>
        <v>11122.5</v>
      </c>
      <c r="G35" s="8">
        <v>7415</v>
      </c>
      <c r="H35" s="14" t="s">
        <v>72</v>
      </c>
    </row>
    <row r="36" spans="1:8" x14ac:dyDescent="0.25">
      <c r="A36" s="8">
        <v>2013</v>
      </c>
      <c r="B36" s="8" t="s">
        <v>19</v>
      </c>
      <c r="C36" s="8" t="s">
        <v>31</v>
      </c>
      <c r="D36" s="8" t="s">
        <v>32</v>
      </c>
      <c r="E36" s="13" t="s">
        <v>28</v>
      </c>
      <c r="F36" s="12">
        <f>G36*1.25</f>
        <v>12206.25</v>
      </c>
      <c r="G36" s="8">
        <v>9765</v>
      </c>
      <c r="H36" s="14" t="s">
        <v>73</v>
      </c>
    </row>
    <row r="37" spans="1:8" x14ac:dyDescent="0.25">
      <c r="A37" s="8">
        <v>2013</v>
      </c>
      <c r="B37" s="8" t="s">
        <v>19</v>
      </c>
      <c r="C37" s="8" t="s">
        <v>33</v>
      </c>
      <c r="D37" s="8" t="s">
        <v>32</v>
      </c>
      <c r="E37" s="13" t="s">
        <v>28</v>
      </c>
      <c r="F37" s="12">
        <f t="shared" ref="F37:F100" si="3">G37*1.25</f>
        <v>9268.75</v>
      </c>
      <c r="G37" s="8">
        <v>7415</v>
      </c>
      <c r="H37" s="14" t="s">
        <v>74</v>
      </c>
    </row>
    <row r="38" spans="1:8" x14ac:dyDescent="0.25">
      <c r="A38" s="8">
        <v>2013</v>
      </c>
      <c r="B38" s="8" t="s">
        <v>19</v>
      </c>
      <c r="C38" s="8" t="s">
        <v>31</v>
      </c>
      <c r="D38" s="8" t="s">
        <v>32</v>
      </c>
      <c r="E38" s="13" t="s">
        <v>28</v>
      </c>
      <c r="F38" s="12">
        <f t="shared" si="3"/>
        <v>12206.25</v>
      </c>
      <c r="G38" s="8">
        <v>9765</v>
      </c>
      <c r="H38" s="14" t="s">
        <v>75</v>
      </c>
    </row>
    <row r="39" spans="1:8" x14ac:dyDescent="0.25">
      <c r="A39" s="8">
        <v>2013</v>
      </c>
      <c r="B39" s="8" t="s">
        <v>19</v>
      </c>
      <c r="C39" s="8" t="s">
        <v>24</v>
      </c>
      <c r="D39" s="8" t="s">
        <v>34</v>
      </c>
      <c r="E39" s="8" t="s">
        <v>35</v>
      </c>
      <c r="F39" s="12">
        <f t="shared" si="3"/>
        <v>11190</v>
      </c>
      <c r="G39" s="8">
        <v>8952</v>
      </c>
      <c r="H39" s="14" t="s">
        <v>76</v>
      </c>
    </row>
    <row r="40" spans="1:8" x14ac:dyDescent="0.25">
      <c r="A40" s="8">
        <v>2013</v>
      </c>
      <c r="B40" s="8" t="s">
        <v>19</v>
      </c>
      <c r="C40" s="8" t="s">
        <v>36</v>
      </c>
      <c r="D40" s="8" t="s">
        <v>34</v>
      </c>
      <c r="E40" s="8" t="s">
        <v>35</v>
      </c>
      <c r="F40" s="12">
        <f t="shared" si="3"/>
        <v>6233.75</v>
      </c>
      <c r="G40" s="8">
        <v>4987</v>
      </c>
      <c r="H40" s="14" t="s">
        <v>77</v>
      </c>
    </row>
    <row r="41" spans="1:8" x14ac:dyDescent="0.25">
      <c r="A41" s="8">
        <v>2013</v>
      </c>
      <c r="B41" s="8" t="s">
        <v>19</v>
      </c>
      <c r="C41" s="8" t="s">
        <v>24</v>
      </c>
      <c r="D41" s="8" t="s">
        <v>34</v>
      </c>
      <c r="E41" s="8" t="s">
        <v>35</v>
      </c>
      <c r="F41" s="12">
        <f t="shared" si="3"/>
        <v>11190</v>
      </c>
      <c r="G41" s="8">
        <v>8952</v>
      </c>
      <c r="H41" s="14" t="s">
        <v>78</v>
      </c>
    </row>
    <row r="42" spans="1:8" x14ac:dyDescent="0.25">
      <c r="A42" s="8">
        <v>2013</v>
      </c>
      <c r="B42" s="8" t="s">
        <v>19</v>
      </c>
      <c r="C42" s="8" t="s">
        <v>36</v>
      </c>
      <c r="D42" s="8" t="s">
        <v>34</v>
      </c>
      <c r="E42" s="8" t="s">
        <v>35</v>
      </c>
      <c r="F42" s="12">
        <f t="shared" si="3"/>
        <v>6233.75</v>
      </c>
      <c r="G42" s="8">
        <v>4987</v>
      </c>
      <c r="H42" s="14" t="s">
        <v>79</v>
      </c>
    </row>
    <row r="43" spans="1:8" x14ac:dyDescent="0.25">
      <c r="A43" s="8">
        <v>2013</v>
      </c>
      <c r="B43" s="8" t="s">
        <v>21</v>
      </c>
      <c r="C43" s="8" t="s">
        <v>33</v>
      </c>
      <c r="D43" s="8" t="s">
        <v>30</v>
      </c>
      <c r="E43" s="8" t="s">
        <v>27</v>
      </c>
      <c r="F43" s="12">
        <f t="shared" si="3"/>
        <v>12182.5</v>
      </c>
      <c r="G43" s="8">
        <v>9746</v>
      </c>
      <c r="H43" s="14" t="s">
        <v>80</v>
      </c>
    </row>
    <row r="44" spans="1:8" x14ac:dyDescent="0.25">
      <c r="A44" s="8">
        <v>2013</v>
      </c>
      <c r="B44" s="8" t="s">
        <v>21</v>
      </c>
      <c r="C44" s="8" t="s">
        <v>24</v>
      </c>
      <c r="D44" s="8" t="s">
        <v>30</v>
      </c>
      <c r="E44" s="8" t="s">
        <v>27</v>
      </c>
      <c r="F44" s="12">
        <f t="shared" si="3"/>
        <v>722.5</v>
      </c>
      <c r="G44" s="8">
        <v>578</v>
      </c>
      <c r="H44" s="14" t="s">
        <v>81</v>
      </c>
    </row>
    <row r="45" spans="1:8" x14ac:dyDescent="0.25">
      <c r="A45" s="8">
        <v>2013</v>
      </c>
      <c r="B45" s="8" t="s">
        <v>21</v>
      </c>
      <c r="C45" s="8" t="s">
        <v>33</v>
      </c>
      <c r="D45" s="8" t="s">
        <v>30</v>
      </c>
      <c r="E45" s="8" t="s">
        <v>27</v>
      </c>
      <c r="F45" s="12">
        <f t="shared" si="3"/>
        <v>12182.5</v>
      </c>
      <c r="G45" s="8">
        <v>9746</v>
      </c>
      <c r="H45" s="14" t="s">
        <v>82</v>
      </c>
    </row>
    <row r="46" spans="1:8" x14ac:dyDescent="0.25">
      <c r="A46" s="8">
        <v>2013</v>
      </c>
      <c r="B46" s="8" t="s">
        <v>21</v>
      </c>
      <c r="C46" s="8" t="s">
        <v>24</v>
      </c>
      <c r="D46" s="8" t="s">
        <v>30</v>
      </c>
      <c r="E46" s="8" t="s">
        <v>27</v>
      </c>
      <c r="F46" s="12">
        <f t="shared" si="3"/>
        <v>722.5</v>
      </c>
      <c r="G46" s="8">
        <v>578</v>
      </c>
      <c r="H46" s="14" t="s">
        <v>83</v>
      </c>
    </row>
    <row r="47" spans="1:8" x14ac:dyDescent="0.25">
      <c r="A47" s="8">
        <v>2013</v>
      </c>
      <c r="B47" s="8" t="s">
        <v>21</v>
      </c>
      <c r="C47" s="8" t="s">
        <v>33</v>
      </c>
      <c r="D47" s="13" t="s">
        <v>38</v>
      </c>
      <c r="E47" s="8" t="s">
        <v>35</v>
      </c>
      <c r="F47" s="12">
        <f t="shared" si="3"/>
        <v>12182.5</v>
      </c>
      <c r="G47" s="8">
        <v>9746</v>
      </c>
      <c r="H47" s="14" t="s">
        <v>84</v>
      </c>
    </row>
    <row r="48" spans="1:8" x14ac:dyDescent="0.25">
      <c r="A48" s="8">
        <v>2013</v>
      </c>
      <c r="B48" s="8" t="s">
        <v>21</v>
      </c>
      <c r="C48" s="8" t="s">
        <v>24</v>
      </c>
      <c r="D48" s="13" t="s">
        <v>38</v>
      </c>
      <c r="E48" s="8" t="s">
        <v>35</v>
      </c>
      <c r="F48" s="12">
        <f t="shared" si="3"/>
        <v>4483.75</v>
      </c>
      <c r="G48" s="8">
        <v>3587</v>
      </c>
      <c r="H48" s="14" t="s">
        <v>85</v>
      </c>
    </row>
    <row r="49" spans="1:8" x14ac:dyDescent="0.25">
      <c r="A49" s="8">
        <v>2013</v>
      </c>
      <c r="B49" s="8" t="s">
        <v>21</v>
      </c>
      <c r="C49" s="8" t="s">
        <v>33</v>
      </c>
      <c r="D49" s="13" t="s">
        <v>38</v>
      </c>
      <c r="E49" s="8" t="s">
        <v>35</v>
      </c>
      <c r="F49" s="12">
        <f t="shared" si="3"/>
        <v>12182.5</v>
      </c>
      <c r="G49" s="8">
        <v>9746</v>
      </c>
      <c r="H49" s="14" t="s">
        <v>86</v>
      </c>
    </row>
    <row r="50" spans="1:8" x14ac:dyDescent="0.25">
      <c r="A50" s="8">
        <v>2013</v>
      </c>
      <c r="B50" s="8" t="s">
        <v>21</v>
      </c>
      <c r="C50" s="8" t="s">
        <v>24</v>
      </c>
      <c r="D50" s="13" t="s">
        <v>38</v>
      </c>
      <c r="E50" s="8" t="s">
        <v>35</v>
      </c>
      <c r="F50" s="12">
        <f t="shared" si="3"/>
        <v>4483.75</v>
      </c>
      <c r="G50" s="8">
        <v>3587</v>
      </c>
      <c r="H50" s="14" t="s">
        <v>87</v>
      </c>
    </row>
    <row r="51" spans="1:8" x14ac:dyDescent="0.25">
      <c r="A51" s="8">
        <v>2013</v>
      </c>
      <c r="B51" s="8" t="s">
        <v>21</v>
      </c>
      <c r="C51" s="8" t="s">
        <v>33</v>
      </c>
      <c r="D51" s="13" t="s">
        <v>39</v>
      </c>
      <c r="E51" s="13" t="s">
        <v>26</v>
      </c>
      <c r="F51" s="12">
        <f t="shared" si="3"/>
        <v>2956.25</v>
      </c>
      <c r="G51" s="8">
        <v>2365</v>
      </c>
      <c r="H51" s="14" t="s">
        <v>88</v>
      </c>
    </row>
    <row r="52" spans="1:8" x14ac:dyDescent="0.25">
      <c r="A52" s="8">
        <v>2013</v>
      </c>
      <c r="B52" s="8" t="s">
        <v>21</v>
      </c>
      <c r="C52" s="8" t="s">
        <v>31</v>
      </c>
      <c r="D52" s="13" t="s">
        <v>39</v>
      </c>
      <c r="E52" s="13" t="s">
        <v>26</v>
      </c>
      <c r="F52" s="12">
        <f t="shared" si="3"/>
        <v>12163.75</v>
      </c>
      <c r="G52" s="8">
        <v>9731</v>
      </c>
      <c r="H52" s="14" t="s">
        <v>89</v>
      </c>
    </row>
    <row r="53" spans="1:8" x14ac:dyDescent="0.25">
      <c r="A53" s="8">
        <v>2013</v>
      </c>
      <c r="B53" s="8" t="s">
        <v>21</v>
      </c>
      <c r="C53" s="8" t="s">
        <v>33</v>
      </c>
      <c r="D53" s="13" t="s">
        <v>39</v>
      </c>
      <c r="E53" s="13" t="s">
        <v>26</v>
      </c>
      <c r="F53" s="12">
        <f t="shared" si="3"/>
        <v>2956.25</v>
      </c>
      <c r="G53" s="8">
        <v>2365</v>
      </c>
      <c r="H53" s="14" t="s">
        <v>90</v>
      </c>
    </row>
    <row r="54" spans="1:8" x14ac:dyDescent="0.25">
      <c r="A54" s="8">
        <v>2013</v>
      </c>
      <c r="B54" s="8" t="s">
        <v>21</v>
      </c>
      <c r="C54" s="8" t="s">
        <v>31</v>
      </c>
      <c r="D54" s="13" t="s">
        <v>39</v>
      </c>
      <c r="E54" s="13" t="s">
        <v>26</v>
      </c>
      <c r="F54" s="12">
        <f t="shared" si="3"/>
        <v>12163.75</v>
      </c>
      <c r="G54" s="8">
        <v>9731</v>
      </c>
      <c r="H54" s="14" t="s">
        <v>91</v>
      </c>
    </row>
    <row r="55" spans="1:8" x14ac:dyDescent="0.25">
      <c r="A55" s="8">
        <v>2013</v>
      </c>
      <c r="B55" s="8" t="s">
        <v>21</v>
      </c>
      <c r="C55" s="8" t="s">
        <v>31</v>
      </c>
      <c r="D55" s="8" t="s">
        <v>32</v>
      </c>
      <c r="E55" s="13" t="s">
        <v>28</v>
      </c>
      <c r="F55" s="12">
        <f t="shared" si="3"/>
        <v>1248.75</v>
      </c>
      <c r="G55" s="8">
        <v>999</v>
      </c>
      <c r="H55" s="14" t="s">
        <v>92</v>
      </c>
    </row>
    <row r="56" spans="1:8" x14ac:dyDescent="0.25">
      <c r="A56" s="8">
        <v>2013</v>
      </c>
      <c r="B56" s="8" t="s">
        <v>21</v>
      </c>
      <c r="C56" s="8" t="s">
        <v>33</v>
      </c>
      <c r="D56" s="8" t="s">
        <v>32</v>
      </c>
      <c r="E56" s="13" t="s">
        <v>28</v>
      </c>
      <c r="F56" s="12">
        <f t="shared" si="3"/>
        <v>196.25</v>
      </c>
      <c r="G56" s="8">
        <v>157</v>
      </c>
      <c r="H56" s="14" t="s">
        <v>93</v>
      </c>
    </row>
    <row r="57" spans="1:8" x14ac:dyDescent="0.25">
      <c r="A57" s="8">
        <v>2013</v>
      </c>
      <c r="B57" s="8" t="s">
        <v>21</v>
      </c>
      <c r="C57" s="8" t="s">
        <v>31</v>
      </c>
      <c r="D57" s="8" t="s">
        <v>32</v>
      </c>
      <c r="E57" s="13" t="s">
        <v>28</v>
      </c>
      <c r="F57" s="12">
        <f t="shared" si="3"/>
        <v>1248.75</v>
      </c>
      <c r="G57" s="8">
        <v>999</v>
      </c>
      <c r="H57" s="14" t="s">
        <v>94</v>
      </c>
    </row>
    <row r="58" spans="1:8" x14ac:dyDescent="0.25">
      <c r="A58" s="8">
        <v>2013</v>
      </c>
      <c r="B58" s="8" t="s">
        <v>21</v>
      </c>
      <c r="C58" s="8" t="s">
        <v>33</v>
      </c>
      <c r="D58" s="8" t="s">
        <v>32</v>
      </c>
      <c r="E58" s="13" t="s">
        <v>28</v>
      </c>
      <c r="F58" s="12">
        <f t="shared" si="3"/>
        <v>196.25</v>
      </c>
      <c r="G58" s="8">
        <v>157</v>
      </c>
      <c r="H58" s="14" t="s">
        <v>95</v>
      </c>
    </row>
    <row r="59" spans="1:8" x14ac:dyDescent="0.25">
      <c r="A59" s="8">
        <v>2013</v>
      </c>
      <c r="B59" s="8" t="s">
        <v>21</v>
      </c>
      <c r="C59" s="8" t="s">
        <v>24</v>
      </c>
      <c r="D59" s="8" t="s">
        <v>34</v>
      </c>
      <c r="E59" s="8" t="s">
        <v>35</v>
      </c>
      <c r="F59" s="12">
        <f t="shared" si="3"/>
        <v>4483.75</v>
      </c>
      <c r="G59" s="8">
        <v>3587</v>
      </c>
      <c r="H59" s="14" t="s">
        <v>96</v>
      </c>
    </row>
    <row r="60" spans="1:8" x14ac:dyDescent="0.25">
      <c r="A60" s="8">
        <v>2013</v>
      </c>
      <c r="B60" s="8" t="s">
        <v>21</v>
      </c>
      <c r="C60" s="8" t="s">
        <v>36</v>
      </c>
      <c r="D60" s="8" t="s">
        <v>34</v>
      </c>
      <c r="E60" s="8" t="s">
        <v>35</v>
      </c>
      <c r="F60" s="12">
        <f t="shared" si="3"/>
        <v>12038.75</v>
      </c>
      <c r="G60" s="8">
        <v>9631</v>
      </c>
      <c r="H60" s="14" t="s">
        <v>97</v>
      </c>
    </row>
    <row r="61" spans="1:8" x14ac:dyDescent="0.25">
      <c r="A61" s="8">
        <v>2013</v>
      </c>
      <c r="B61" s="8" t="s">
        <v>21</v>
      </c>
      <c r="C61" s="8" t="s">
        <v>24</v>
      </c>
      <c r="D61" s="8" t="s">
        <v>34</v>
      </c>
      <c r="E61" s="8" t="s">
        <v>35</v>
      </c>
      <c r="F61" s="12">
        <f t="shared" si="3"/>
        <v>4483.75</v>
      </c>
      <c r="G61" s="8">
        <v>3587</v>
      </c>
      <c r="H61" s="14" t="s">
        <v>98</v>
      </c>
    </row>
    <row r="62" spans="1:8" x14ac:dyDescent="0.25">
      <c r="A62" s="8">
        <v>2013</v>
      </c>
      <c r="B62" s="8" t="s">
        <v>21</v>
      </c>
      <c r="C62" s="8" t="s">
        <v>36</v>
      </c>
      <c r="D62" s="8" t="s">
        <v>34</v>
      </c>
      <c r="E62" s="8" t="s">
        <v>35</v>
      </c>
      <c r="F62" s="12">
        <f t="shared" si="3"/>
        <v>12038.75</v>
      </c>
      <c r="G62" s="8">
        <v>9631</v>
      </c>
      <c r="H62" s="14" t="s">
        <v>99</v>
      </c>
    </row>
    <row r="63" spans="1:8" x14ac:dyDescent="0.25">
      <c r="A63" s="8">
        <v>2013</v>
      </c>
      <c r="B63" s="8" t="s">
        <v>18</v>
      </c>
      <c r="C63" s="8" t="s">
        <v>36</v>
      </c>
      <c r="D63" s="8" t="s">
        <v>30</v>
      </c>
      <c r="E63" s="8" t="s">
        <v>27</v>
      </c>
      <c r="F63" s="12">
        <f t="shared" si="3"/>
        <v>1972.5</v>
      </c>
      <c r="G63" s="8">
        <v>1578</v>
      </c>
      <c r="H63" s="14" t="s">
        <v>100</v>
      </c>
    </row>
    <row r="64" spans="1:8" x14ac:dyDescent="0.25">
      <c r="A64" s="8">
        <v>2013</v>
      </c>
      <c r="B64" s="8" t="s">
        <v>18</v>
      </c>
      <c r="C64" s="8" t="s">
        <v>33</v>
      </c>
      <c r="D64" s="8" t="s">
        <v>30</v>
      </c>
      <c r="E64" s="8" t="s">
        <v>27</v>
      </c>
      <c r="F64" s="12">
        <f t="shared" si="3"/>
        <v>5733.75</v>
      </c>
      <c r="G64" s="8">
        <v>4587</v>
      </c>
      <c r="H64" s="14" t="s">
        <v>101</v>
      </c>
    </row>
    <row r="65" spans="1:8" x14ac:dyDescent="0.25">
      <c r="A65" s="8">
        <v>2013</v>
      </c>
      <c r="B65" s="8" t="s">
        <v>18</v>
      </c>
      <c r="C65" s="8" t="s">
        <v>36</v>
      </c>
      <c r="D65" s="8" t="s">
        <v>30</v>
      </c>
      <c r="E65" s="8" t="s">
        <v>27</v>
      </c>
      <c r="F65" s="12">
        <f t="shared" si="3"/>
        <v>1972.5</v>
      </c>
      <c r="G65" s="8">
        <v>1578</v>
      </c>
      <c r="H65" s="14" t="s">
        <v>102</v>
      </c>
    </row>
    <row r="66" spans="1:8" x14ac:dyDescent="0.25">
      <c r="A66" s="8">
        <v>2013</v>
      </c>
      <c r="B66" s="8" t="s">
        <v>18</v>
      </c>
      <c r="C66" s="8" t="s">
        <v>33</v>
      </c>
      <c r="D66" s="8" t="s">
        <v>30</v>
      </c>
      <c r="E66" s="8" t="s">
        <v>27</v>
      </c>
      <c r="F66" s="12">
        <f t="shared" si="3"/>
        <v>5733.75</v>
      </c>
      <c r="G66" s="8">
        <v>4587</v>
      </c>
      <c r="H66" s="14" t="s">
        <v>103</v>
      </c>
    </row>
    <row r="67" spans="1:8" x14ac:dyDescent="0.25">
      <c r="A67" s="8">
        <v>2013</v>
      </c>
      <c r="B67" s="8" t="s">
        <v>18</v>
      </c>
      <c r="C67" s="8" t="s">
        <v>24</v>
      </c>
      <c r="D67" s="13" t="s">
        <v>38</v>
      </c>
      <c r="E67" s="8" t="s">
        <v>35</v>
      </c>
      <c r="F67" s="12">
        <f t="shared" si="3"/>
        <v>9865</v>
      </c>
      <c r="G67" s="8">
        <v>7892</v>
      </c>
      <c r="H67" s="14" t="s">
        <v>104</v>
      </c>
    </row>
    <row r="68" spans="1:8" x14ac:dyDescent="0.25">
      <c r="A68" s="8">
        <v>2013</v>
      </c>
      <c r="B68" s="8" t="s">
        <v>18</v>
      </c>
      <c r="C68" s="8" t="s">
        <v>36</v>
      </c>
      <c r="D68" s="13" t="s">
        <v>38</v>
      </c>
      <c r="E68" s="8" t="s">
        <v>35</v>
      </c>
      <c r="F68" s="12">
        <f t="shared" si="3"/>
        <v>1972.5</v>
      </c>
      <c r="G68" s="8">
        <v>1578</v>
      </c>
      <c r="H68" s="14" t="s">
        <v>105</v>
      </c>
    </row>
    <row r="69" spans="1:8" x14ac:dyDescent="0.25">
      <c r="A69" s="8">
        <v>2013</v>
      </c>
      <c r="B69" s="8" t="s">
        <v>18</v>
      </c>
      <c r="C69" s="8" t="s">
        <v>24</v>
      </c>
      <c r="D69" s="13" t="s">
        <v>38</v>
      </c>
      <c r="E69" s="8" t="s">
        <v>35</v>
      </c>
      <c r="F69" s="12">
        <f t="shared" si="3"/>
        <v>5858.75</v>
      </c>
      <c r="G69" s="8">
        <v>4687</v>
      </c>
      <c r="H69" s="14" t="s">
        <v>106</v>
      </c>
    </row>
    <row r="70" spans="1:8" x14ac:dyDescent="0.25">
      <c r="A70" s="8">
        <v>2013</v>
      </c>
      <c r="B70" s="8" t="s">
        <v>18</v>
      </c>
      <c r="C70" s="8" t="s">
        <v>31</v>
      </c>
      <c r="D70" s="13" t="s">
        <v>38</v>
      </c>
      <c r="E70" s="8" t="s">
        <v>35</v>
      </c>
      <c r="F70" s="12">
        <f t="shared" si="3"/>
        <v>1705</v>
      </c>
      <c r="G70" s="8">
        <v>1364</v>
      </c>
      <c r="H70" s="14" t="s">
        <v>107</v>
      </c>
    </row>
    <row r="71" spans="1:8" x14ac:dyDescent="0.25">
      <c r="A71" s="8">
        <v>2013</v>
      </c>
      <c r="B71" s="8" t="s">
        <v>18</v>
      </c>
      <c r="C71" s="8" t="s">
        <v>24</v>
      </c>
      <c r="D71" s="13" t="s">
        <v>38</v>
      </c>
      <c r="E71" s="8" t="s">
        <v>35</v>
      </c>
      <c r="F71" s="12">
        <f t="shared" si="3"/>
        <v>9865</v>
      </c>
      <c r="G71" s="8">
        <v>7892</v>
      </c>
      <c r="H71" s="14" t="s">
        <v>108</v>
      </c>
    </row>
    <row r="72" spans="1:8" x14ac:dyDescent="0.25">
      <c r="A72" s="8">
        <v>2013</v>
      </c>
      <c r="B72" s="8" t="s">
        <v>18</v>
      </c>
      <c r="C72" s="8" t="s">
        <v>36</v>
      </c>
      <c r="D72" s="13" t="s">
        <v>38</v>
      </c>
      <c r="E72" s="8" t="s">
        <v>35</v>
      </c>
      <c r="F72" s="12">
        <f t="shared" si="3"/>
        <v>1972.5</v>
      </c>
      <c r="G72" s="8">
        <v>1578</v>
      </c>
      <c r="H72" s="14" t="s">
        <v>109</v>
      </c>
    </row>
    <row r="73" spans="1:8" x14ac:dyDescent="0.25">
      <c r="A73" s="8">
        <v>2013</v>
      </c>
      <c r="B73" s="8" t="s">
        <v>18</v>
      </c>
      <c r="C73" s="8" t="s">
        <v>24</v>
      </c>
      <c r="D73" s="13" t="s">
        <v>38</v>
      </c>
      <c r="E73" s="8" t="s">
        <v>35</v>
      </c>
      <c r="F73" s="12">
        <f t="shared" si="3"/>
        <v>5858.75</v>
      </c>
      <c r="G73" s="8">
        <v>4687</v>
      </c>
      <c r="H73" s="14" t="s">
        <v>110</v>
      </c>
    </row>
    <row r="74" spans="1:8" x14ac:dyDescent="0.25">
      <c r="A74" s="8">
        <v>2013</v>
      </c>
      <c r="B74" s="8" t="s">
        <v>18</v>
      </c>
      <c r="C74" s="8" t="s">
        <v>31</v>
      </c>
      <c r="D74" s="13" t="s">
        <v>38</v>
      </c>
      <c r="E74" s="8" t="s">
        <v>35</v>
      </c>
      <c r="F74" s="12">
        <f t="shared" si="3"/>
        <v>1705</v>
      </c>
      <c r="G74" s="8">
        <v>1364</v>
      </c>
      <c r="H74" s="14" t="s">
        <v>111</v>
      </c>
    </row>
    <row r="75" spans="1:8" x14ac:dyDescent="0.25">
      <c r="A75" s="8">
        <v>2013</v>
      </c>
      <c r="B75" s="8" t="s">
        <v>18</v>
      </c>
      <c r="C75" s="8" t="s">
        <v>33</v>
      </c>
      <c r="D75" s="13" t="s">
        <v>39</v>
      </c>
      <c r="E75" s="13" t="s">
        <v>26</v>
      </c>
      <c r="F75" s="12">
        <f t="shared" si="3"/>
        <v>7327.5</v>
      </c>
      <c r="G75" s="8">
        <v>5862</v>
      </c>
      <c r="H75" s="14" t="s">
        <v>112</v>
      </c>
    </row>
    <row r="76" spans="1:8" x14ac:dyDescent="0.25">
      <c r="A76" s="8">
        <v>2013</v>
      </c>
      <c r="B76" s="8" t="s">
        <v>18</v>
      </c>
      <c r="C76" s="8" t="s">
        <v>33</v>
      </c>
      <c r="D76" s="13" t="s">
        <v>39</v>
      </c>
      <c r="E76" s="13" t="s">
        <v>26</v>
      </c>
      <c r="F76" s="12">
        <f t="shared" si="3"/>
        <v>9268.75</v>
      </c>
      <c r="G76" s="8">
        <v>7415</v>
      </c>
      <c r="H76" s="14" t="s">
        <v>113</v>
      </c>
    </row>
    <row r="77" spans="1:8" x14ac:dyDescent="0.25">
      <c r="A77" s="8">
        <v>2013</v>
      </c>
      <c r="B77" s="8" t="s">
        <v>18</v>
      </c>
      <c r="C77" s="8" t="s">
        <v>24</v>
      </c>
      <c r="D77" s="13" t="s">
        <v>39</v>
      </c>
      <c r="E77" s="13" t="s">
        <v>26</v>
      </c>
      <c r="F77" s="12">
        <f t="shared" si="3"/>
        <v>11190</v>
      </c>
      <c r="G77" s="8">
        <v>8952</v>
      </c>
      <c r="H77" s="14" t="s">
        <v>114</v>
      </c>
    </row>
    <row r="78" spans="1:8" x14ac:dyDescent="0.25">
      <c r="A78" s="8">
        <v>2013</v>
      </c>
      <c r="B78" s="8" t="s">
        <v>18</v>
      </c>
      <c r="C78" s="8" t="s">
        <v>33</v>
      </c>
      <c r="D78" s="13" t="s">
        <v>39</v>
      </c>
      <c r="E78" s="13" t="s">
        <v>26</v>
      </c>
      <c r="F78" s="12">
        <f t="shared" si="3"/>
        <v>12182.5</v>
      </c>
      <c r="G78" s="8">
        <v>9746</v>
      </c>
      <c r="H78" s="14" t="s">
        <v>115</v>
      </c>
    </row>
    <row r="79" spans="1:8" x14ac:dyDescent="0.25">
      <c r="A79" s="8">
        <v>2013</v>
      </c>
      <c r="B79" s="8" t="s">
        <v>18</v>
      </c>
      <c r="C79" s="8" t="s">
        <v>36</v>
      </c>
      <c r="D79" s="13" t="s">
        <v>39</v>
      </c>
      <c r="E79" s="13" t="s">
        <v>26</v>
      </c>
      <c r="F79" s="12">
        <f t="shared" si="3"/>
        <v>1972.5</v>
      </c>
      <c r="G79" s="8">
        <v>1578</v>
      </c>
      <c r="H79" s="14" t="s">
        <v>116</v>
      </c>
    </row>
    <row r="80" spans="1:8" x14ac:dyDescent="0.25">
      <c r="A80" s="8">
        <v>2013</v>
      </c>
      <c r="B80" s="8" t="s">
        <v>18</v>
      </c>
      <c r="C80" s="8" t="s">
        <v>33</v>
      </c>
      <c r="D80" s="13" t="s">
        <v>39</v>
      </c>
      <c r="E80" s="13" t="s">
        <v>26</v>
      </c>
      <c r="F80" s="12">
        <f t="shared" si="3"/>
        <v>7327.5</v>
      </c>
      <c r="G80" s="8">
        <v>5862</v>
      </c>
      <c r="H80" s="14" t="s">
        <v>117</v>
      </c>
    </row>
    <row r="81" spans="1:8" x14ac:dyDescent="0.25">
      <c r="A81" s="8">
        <v>2013</v>
      </c>
      <c r="B81" s="8" t="s">
        <v>18</v>
      </c>
      <c r="C81" s="8" t="s">
        <v>33</v>
      </c>
      <c r="D81" s="13" t="s">
        <v>39</v>
      </c>
      <c r="E81" s="13" t="s">
        <v>26</v>
      </c>
      <c r="F81" s="12">
        <f t="shared" si="3"/>
        <v>9268.75</v>
      </c>
      <c r="G81" s="8">
        <v>7415</v>
      </c>
      <c r="H81" s="14" t="s">
        <v>118</v>
      </c>
    </row>
    <row r="82" spans="1:8" x14ac:dyDescent="0.25">
      <c r="A82" s="8">
        <v>2013</v>
      </c>
      <c r="B82" s="8" t="s">
        <v>18</v>
      </c>
      <c r="C82" s="8" t="s">
        <v>24</v>
      </c>
      <c r="D82" s="13" t="s">
        <v>39</v>
      </c>
      <c r="E82" s="13" t="s">
        <v>26</v>
      </c>
      <c r="F82" s="12">
        <f t="shared" si="3"/>
        <v>11190</v>
      </c>
      <c r="G82" s="8">
        <v>8952</v>
      </c>
      <c r="H82" s="14" t="s">
        <v>119</v>
      </c>
    </row>
    <row r="83" spans="1:8" x14ac:dyDescent="0.25">
      <c r="A83" s="8">
        <v>2013</v>
      </c>
      <c r="B83" s="8" t="s">
        <v>18</v>
      </c>
      <c r="C83" s="8" t="s">
        <v>33</v>
      </c>
      <c r="D83" s="13" t="s">
        <v>39</v>
      </c>
      <c r="E83" s="13" t="s">
        <v>26</v>
      </c>
      <c r="F83" s="12">
        <f t="shared" si="3"/>
        <v>12182.5</v>
      </c>
      <c r="G83" s="8">
        <v>9746</v>
      </c>
      <c r="H83" s="14" t="s">
        <v>120</v>
      </c>
    </row>
    <row r="84" spans="1:8" x14ac:dyDescent="0.25">
      <c r="A84" s="8">
        <v>2013</v>
      </c>
      <c r="B84" s="8" t="s">
        <v>18</v>
      </c>
      <c r="C84" s="8" t="s">
        <v>36</v>
      </c>
      <c r="D84" s="13" t="s">
        <v>39</v>
      </c>
      <c r="E84" s="13" t="s">
        <v>26</v>
      </c>
      <c r="F84" s="12">
        <f t="shared" si="3"/>
        <v>1972.5</v>
      </c>
      <c r="G84" s="8">
        <v>1578</v>
      </c>
      <c r="H84" s="14" t="s">
        <v>121</v>
      </c>
    </row>
    <row r="85" spans="1:8" x14ac:dyDescent="0.25">
      <c r="A85" s="8">
        <v>2013</v>
      </c>
      <c r="B85" s="8" t="s">
        <v>18</v>
      </c>
      <c r="C85" s="8" t="s">
        <v>24</v>
      </c>
      <c r="D85" s="8" t="s">
        <v>32</v>
      </c>
      <c r="E85" s="13" t="s">
        <v>28</v>
      </c>
      <c r="F85" s="12">
        <f t="shared" si="3"/>
        <v>9865</v>
      </c>
      <c r="G85" s="8">
        <v>7892</v>
      </c>
      <c r="H85" s="14" t="s">
        <v>122</v>
      </c>
    </row>
    <row r="86" spans="1:8" x14ac:dyDescent="0.25">
      <c r="A86" s="8">
        <v>2013</v>
      </c>
      <c r="B86" s="8" t="s">
        <v>18</v>
      </c>
      <c r="C86" s="8" t="s">
        <v>24</v>
      </c>
      <c r="D86" s="8" t="s">
        <v>32</v>
      </c>
      <c r="E86" s="13" t="s">
        <v>28</v>
      </c>
      <c r="F86" s="12">
        <f t="shared" si="3"/>
        <v>9982.5</v>
      </c>
      <c r="G86" s="8">
        <v>7986</v>
      </c>
      <c r="H86" s="14" t="s">
        <v>123</v>
      </c>
    </row>
    <row r="87" spans="1:8" x14ac:dyDescent="0.25">
      <c r="A87" s="8">
        <v>2013</v>
      </c>
      <c r="B87" s="8" t="s">
        <v>18</v>
      </c>
      <c r="C87" s="8" t="s">
        <v>24</v>
      </c>
      <c r="D87" s="8" t="s">
        <v>32</v>
      </c>
      <c r="E87" s="13" t="s">
        <v>28</v>
      </c>
      <c r="F87" s="12">
        <f t="shared" si="3"/>
        <v>9865</v>
      </c>
      <c r="G87" s="8">
        <v>7892</v>
      </c>
      <c r="H87" s="14" t="s">
        <v>124</v>
      </c>
    </row>
    <row r="88" spans="1:8" x14ac:dyDescent="0.25">
      <c r="A88" s="8">
        <v>2013</v>
      </c>
      <c r="B88" s="8" t="s">
        <v>18</v>
      </c>
      <c r="C88" s="8" t="s">
        <v>24</v>
      </c>
      <c r="D88" s="8" t="s">
        <v>32</v>
      </c>
      <c r="E88" s="13" t="s">
        <v>28</v>
      </c>
      <c r="F88" s="12">
        <f t="shared" si="3"/>
        <v>9982.5</v>
      </c>
      <c r="G88" s="8">
        <v>7986</v>
      </c>
      <c r="H88" s="14" t="s">
        <v>125</v>
      </c>
    </row>
    <row r="89" spans="1:8" x14ac:dyDescent="0.25">
      <c r="A89" s="8">
        <v>2013</v>
      </c>
      <c r="B89" s="8" t="s">
        <v>18</v>
      </c>
      <c r="C89" s="8" t="s">
        <v>24</v>
      </c>
      <c r="D89" s="8" t="s">
        <v>34</v>
      </c>
      <c r="E89" s="8" t="s">
        <v>35</v>
      </c>
      <c r="F89" s="12">
        <f t="shared" si="3"/>
        <v>5858.75</v>
      </c>
      <c r="G89" s="8">
        <v>4687</v>
      </c>
      <c r="H89" s="14" t="s">
        <v>126</v>
      </c>
    </row>
    <row r="90" spans="1:8" x14ac:dyDescent="0.25">
      <c r="A90" s="8">
        <v>2013</v>
      </c>
      <c r="B90" s="8" t="s">
        <v>18</v>
      </c>
      <c r="C90" s="8" t="s">
        <v>31</v>
      </c>
      <c r="D90" s="8" t="s">
        <v>34</v>
      </c>
      <c r="E90" s="8" t="s">
        <v>35</v>
      </c>
      <c r="F90" s="12">
        <f t="shared" si="3"/>
        <v>1705</v>
      </c>
      <c r="G90" s="8">
        <v>1364</v>
      </c>
      <c r="H90" s="14" t="s">
        <v>127</v>
      </c>
    </row>
    <row r="91" spans="1:8" x14ac:dyDescent="0.25">
      <c r="A91" s="8">
        <v>2013</v>
      </c>
      <c r="B91" s="8" t="s">
        <v>18</v>
      </c>
      <c r="C91" s="8" t="s">
        <v>24</v>
      </c>
      <c r="D91" s="8" t="s">
        <v>34</v>
      </c>
      <c r="E91" s="8" t="s">
        <v>35</v>
      </c>
      <c r="F91" s="12">
        <f t="shared" si="3"/>
        <v>5858.75</v>
      </c>
      <c r="G91" s="8">
        <v>4687</v>
      </c>
      <c r="H91" s="14" t="s">
        <v>128</v>
      </c>
    </row>
    <row r="92" spans="1:8" x14ac:dyDescent="0.25">
      <c r="A92" s="8">
        <v>2013</v>
      </c>
      <c r="B92" s="8" t="s">
        <v>18</v>
      </c>
      <c r="C92" s="8" t="s">
        <v>31</v>
      </c>
      <c r="D92" s="8" t="s">
        <v>34</v>
      </c>
      <c r="E92" s="8" t="s">
        <v>35</v>
      </c>
      <c r="F92" s="12">
        <f t="shared" si="3"/>
        <v>1705</v>
      </c>
      <c r="G92" s="8">
        <v>1364</v>
      </c>
      <c r="H92" s="14" t="s">
        <v>129</v>
      </c>
    </row>
    <row r="93" spans="1:8" x14ac:dyDescent="0.25">
      <c r="A93" s="8">
        <v>2013</v>
      </c>
      <c r="B93" s="8" t="s">
        <v>22</v>
      </c>
      <c r="C93" s="8" t="s">
        <v>31</v>
      </c>
      <c r="D93" s="8" t="s">
        <v>30</v>
      </c>
      <c r="E93" s="8" t="s">
        <v>27</v>
      </c>
      <c r="F93" s="12">
        <f t="shared" si="3"/>
        <v>622.5</v>
      </c>
      <c r="G93" s="8">
        <v>498</v>
      </c>
      <c r="H93" s="14" t="s">
        <v>130</v>
      </c>
    </row>
    <row r="94" spans="1:8" x14ac:dyDescent="0.25">
      <c r="A94" s="8">
        <v>2013</v>
      </c>
      <c r="B94" s="8" t="s">
        <v>22</v>
      </c>
      <c r="C94" s="8" t="s">
        <v>36</v>
      </c>
      <c r="D94" s="8" t="s">
        <v>30</v>
      </c>
      <c r="E94" s="8" t="s">
        <v>27</v>
      </c>
      <c r="F94" s="12">
        <f t="shared" si="3"/>
        <v>6118.75</v>
      </c>
      <c r="G94" s="8">
        <v>4895</v>
      </c>
      <c r="H94" s="14" t="s">
        <v>131</v>
      </c>
    </row>
    <row r="95" spans="1:8" x14ac:dyDescent="0.25">
      <c r="A95" s="8">
        <v>2013</v>
      </c>
      <c r="B95" s="8" t="s">
        <v>22</v>
      </c>
      <c r="C95" s="8" t="s">
        <v>31</v>
      </c>
      <c r="D95" s="8" t="s">
        <v>30</v>
      </c>
      <c r="E95" s="8" t="s">
        <v>27</v>
      </c>
      <c r="F95" s="12">
        <f t="shared" si="3"/>
        <v>622.5</v>
      </c>
      <c r="G95" s="8">
        <v>498</v>
      </c>
      <c r="H95" s="14" t="s">
        <v>132</v>
      </c>
    </row>
    <row r="96" spans="1:8" x14ac:dyDescent="0.25">
      <c r="A96" s="8">
        <v>2013</v>
      </c>
      <c r="B96" s="8" t="s">
        <v>22</v>
      </c>
      <c r="C96" s="8" t="s">
        <v>36</v>
      </c>
      <c r="D96" s="8" t="s">
        <v>30</v>
      </c>
      <c r="E96" s="8" t="s">
        <v>27</v>
      </c>
      <c r="F96" s="12">
        <f t="shared" si="3"/>
        <v>6118.75</v>
      </c>
      <c r="G96" s="8">
        <v>4895</v>
      </c>
      <c r="H96" s="14" t="s">
        <v>133</v>
      </c>
    </row>
    <row r="97" spans="1:8" x14ac:dyDescent="0.25">
      <c r="A97" s="8">
        <v>2013</v>
      </c>
      <c r="B97" s="8" t="s">
        <v>22</v>
      </c>
      <c r="C97" s="8" t="s">
        <v>36</v>
      </c>
      <c r="D97" s="13" t="s">
        <v>38</v>
      </c>
      <c r="E97" s="8" t="s">
        <v>35</v>
      </c>
      <c r="F97" s="12">
        <f t="shared" si="3"/>
        <v>6120</v>
      </c>
      <c r="G97" s="8">
        <v>4896</v>
      </c>
      <c r="H97" s="14" t="s">
        <v>134</v>
      </c>
    </row>
    <row r="98" spans="1:8" x14ac:dyDescent="0.25">
      <c r="A98" s="8">
        <v>2013</v>
      </c>
      <c r="B98" s="8" t="s">
        <v>22</v>
      </c>
      <c r="C98" s="8" t="s">
        <v>24</v>
      </c>
      <c r="D98" s="13" t="s">
        <v>38</v>
      </c>
      <c r="E98" s="8" t="s">
        <v>35</v>
      </c>
      <c r="F98" s="12">
        <f t="shared" si="3"/>
        <v>5733.75</v>
      </c>
      <c r="G98" s="8">
        <v>4587</v>
      </c>
      <c r="H98" s="14" t="s">
        <v>135</v>
      </c>
    </row>
    <row r="99" spans="1:8" x14ac:dyDescent="0.25">
      <c r="A99" s="8">
        <v>2013</v>
      </c>
      <c r="B99" s="8" t="s">
        <v>22</v>
      </c>
      <c r="C99" s="8" t="s">
        <v>36</v>
      </c>
      <c r="D99" s="13" t="s">
        <v>38</v>
      </c>
      <c r="E99" s="8" t="s">
        <v>35</v>
      </c>
      <c r="F99" s="12">
        <f t="shared" si="3"/>
        <v>6120</v>
      </c>
      <c r="G99" s="8">
        <v>4896</v>
      </c>
      <c r="H99" s="14" t="s">
        <v>136</v>
      </c>
    </row>
    <row r="100" spans="1:8" x14ac:dyDescent="0.25">
      <c r="A100" s="8">
        <v>2013</v>
      </c>
      <c r="B100" s="8" t="s">
        <v>22</v>
      </c>
      <c r="C100" s="8" t="s">
        <v>24</v>
      </c>
      <c r="D100" s="13" t="s">
        <v>38</v>
      </c>
      <c r="E100" s="8" t="s">
        <v>35</v>
      </c>
      <c r="F100" s="12">
        <f t="shared" si="3"/>
        <v>5733.75</v>
      </c>
      <c r="G100" s="8">
        <v>4587</v>
      </c>
      <c r="H100" s="14" t="s">
        <v>137</v>
      </c>
    </row>
    <row r="101" spans="1:8" x14ac:dyDescent="0.25">
      <c r="A101" s="8">
        <v>2013</v>
      </c>
      <c r="B101" s="8" t="s">
        <v>22</v>
      </c>
      <c r="C101" s="8" t="s">
        <v>24</v>
      </c>
      <c r="D101" s="13" t="s">
        <v>39</v>
      </c>
      <c r="E101" s="13" t="s">
        <v>26</v>
      </c>
      <c r="F101" s="12">
        <f t="shared" ref="F101:F152" si="4">G101*1.25</f>
        <v>4483.75</v>
      </c>
      <c r="G101" s="8">
        <v>3587</v>
      </c>
      <c r="H101" s="14" t="s">
        <v>138</v>
      </c>
    </row>
    <row r="102" spans="1:8" x14ac:dyDescent="0.25">
      <c r="A102" s="8">
        <v>2013</v>
      </c>
      <c r="B102" s="8" t="s">
        <v>22</v>
      </c>
      <c r="C102" s="8" t="s">
        <v>24</v>
      </c>
      <c r="D102" s="13" t="s">
        <v>39</v>
      </c>
      <c r="E102" s="13" t="s">
        <v>26</v>
      </c>
      <c r="F102" s="12">
        <f t="shared" si="4"/>
        <v>9865</v>
      </c>
      <c r="G102" s="8">
        <v>7892</v>
      </c>
      <c r="H102" s="14" t="s">
        <v>139</v>
      </c>
    </row>
    <row r="103" spans="1:8" x14ac:dyDescent="0.25">
      <c r="A103" s="8">
        <v>2013</v>
      </c>
      <c r="B103" s="8" t="s">
        <v>22</v>
      </c>
      <c r="C103" s="8" t="s">
        <v>24</v>
      </c>
      <c r="D103" s="13" t="s">
        <v>39</v>
      </c>
      <c r="E103" s="13" t="s">
        <v>26</v>
      </c>
      <c r="F103" s="12">
        <f t="shared" si="4"/>
        <v>4483.75</v>
      </c>
      <c r="G103" s="8">
        <v>3587</v>
      </c>
      <c r="H103" s="14" t="s">
        <v>140</v>
      </c>
    </row>
    <row r="104" spans="1:8" x14ac:dyDescent="0.25">
      <c r="A104" s="8">
        <v>2013</v>
      </c>
      <c r="B104" s="8" t="s">
        <v>22</v>
      </c>
      <c r="C104" s="8" t="s">
        <v>24</v>
      </c>
      <c r="D104" s="13" t="s">
        <v>39</v>
      </c>
      <c r="E104" s="13" t="s">
        <v>26</v>
      </c>
      <c r="F104" s="12">
        <f t="shared" si="4"/>
        <v>9865</v>
      </c>
      <c r="G104" s="8">
        <v>7892</v>
      </c>
      <c r="H104" s="14" t="s">
        <v>141</v>
      </c>
    </row>
    <row r="105" spans="1:8" x14ac:dyDescent="0.25">
      <c r="A105" s="8">
        <v>2013</v>
      </c>
      <c r="B105" s="8" t="s">
        <v>22</v>
      </c>
      <c r="C105" s="8" t="s">
        <v>36</v>
      </c>
      <c r="D105" s="8" t="s">
        <v>32</v>
      </c>
      <c r="E105" s="13" t="s">
        <v>28</v>
      </c>
      <c r="F105" s="12">
        <f t="shared" si="4"/>
        <v>6120</v>
      </c>
      <c r="G105" s="8">
        <v>4896</v>
      </c>
      <c r="H105" s="14" t="s">
        <v>142</v>
      </c>
    </row>
    <row r="106" spans="1:8" x14ac:dyDescent="0.25">
      <c r="A106" s="8">
        <v>2013</v>
      </c>
      <c r="B106" s="8" t="s">
        <v>22</v>
      </c>
      <c r="C106" s="8" t="s">
        <v>24</v>
      </c>
      <c r="D106" s="8" t="s">
        <v>32</v>
      </c>
      <c r="E106" s="13" t="s">
        <v>28</v>
      </c>
      <c r="F106" s="12">
        <f t="shared" si="4"/>
        <v>5733.75</v>
      </c>
      <c r="G106" s="8">
        <v>4587</v>
      </c>
      <c r="H106" s="14" t="s">
        <v>143</v>
      </c>
    </row>
    <row r="107" spans="1:8" x14ac:dyDescent="0.25">
      <c r="A107" s="8">
        <v>2013</v>
      </c>
      <c r="B107" s="8" t="s">
        <v>22</v>
      </c>
      <c r="C107" s="8" t="s">
        <v>24</v>
      </c>
      <c r="D107" s="8" t="s">
        <v>32</v>
      </c>
      <c r="E107" s="13" t="s">
        <v>28</v>
      </c>
      <c r="F107" s="12">
        <f t="shared" si="4"/>
        <v>6098.75</v>
      </c>
      <c r="G107" s="8">
        <v>4879</v>
      </c>
      <c r="H107" s="14" t="s">
        <v>144</v>
      </c>
    </row>
    <row r="108" spans="1:8" x14ac:dyDescent="0.25">
      <c r="A108" s="8">
        <v>2013</v>
      </c>
      <c r="B108" s="8" t="s">
        <v>22</v>
      </c>
      <c r="C108" s="8" t="s">
        <v>36</v>
      </c>
      <c r="D108" s="8" t="s">
        <v>32</v>
      </c>
      <c r="E108" s="13" t="s">
        <v>28</v>
      </c>
      <c r="F108" s="12">
        <f t="shared" si="4"/>
        <v>6120</v>
      </c>
      <c r="G108" s="8">
        <v>4896</v>
      </c>
      <c r="H108" s="14" t="s">
        <v>145</v>
      </c>
    </row>
    <row r="109" spans="1:8" x14ac:dyDescent="0.25">
      <c r="A109" s="8">
        <v>2013</v>
      </c>
      <c r="B109" s="8" t="s">
        <v>22</v>
      </c>
      <c r="C109" s="8" t="s">
        <v>24</v>
      </c>
      <c r="D109" s="8" t="s">
        <v>32</v>
      </c>
      <c r="E109" s="13" t="s">
        <v>28</v>
      </c>
      <c r="F109" s="12">
        <f t="shared" si="4"/>
        <v>5733.75</v>
      </c>
      <c r="G109" s="8">
        <v>4587</v>
      </c>
      <c r="H109" s="14" t="s">
        <v>146</v>
      </c>
    </row>
    <row r="110" spans="1:8" x14ac:dyDescent="0.25">
      <c r="A110" s="8">
        <v>2013</v>
      </c>
      <c r="B110" s="8" t="s">
        <v>22</v>
      </c>
      <c r="C110" s="8" t="s">
        <v>24</v>
      </c>
      <c r="D110" s="8" t="s">
        <v>32</v>
      </c>
      <c r="E110" s="13" t="s">
        <v>28</v>
      </c>
      <c r="F110" s="12">
        <f t="shared" si="4"/>
        <v>6098.75</v>
      </c>
      <c r="G110" s="8">
        <v>4879</v>
      </c>
      <c r="H110" s="14" t="s">
        <v>147</v>
      </c>
    </row>
    <row r="111" spans="1:8" x14ac:dyDescent="0.25">
      <c r="A111" s="8">
        <v>2013</v>
      </c>
      <c r="B111" s="8" t="s">
        <v>22</v>
      </c>
      <c r="C111" s="8" t="s">
        <v>33</v>
      </c>
      <c r="D111" s="8" t="s">
        <v>34</v>
      </c>
      <c r="E111" s="8" t="s">
        <v>35</v>
      </c>
      <c r="F111" s="12">
        <f t="shared" si="4"/>
        <v>5733.75</v>
      </c>
      <c r="G111" s="8">
        <v>4587</v>
      </c>
      <c r="H111" s="14" t="s">
        <v>148</v>
      </c>
    </row>
    <row r="112" spans="1:8" x14ac:dyDescent="0.25">
      <c r="A112" s="8">
        <v>2013</v>
      </c>
      <c r="B112" s="8" t="s">
        <v>22</v>
      </c>
      <c r="C112" s="8" t="s">
        <v>24</v>
      </c>
      <c r="D112" s="8" t="s">
        <v>34</v>
      </c>
      <c r="E112" s="8" t="s">
        <v>35</v>
      </c>
      <c r="F112" s="12">
        <f t="shared" si="4"/>
        <v>7905</v>
      </c>
      <c r="G112" s="8">
        <v>6324</v>
      </c>
      <c r="H112" s="14" t="s">
        <v>149</v>
      </c>
    </row>
    <row r="113" spans="1:8" x14ac:dyDescent="0.25">
      <c r="A113" s="8">
        <v>2013</v>
      </c>
      <c r="B113" s="8" t="s">
        <v>22</v>
      </c>
      <c r="C113" s="8" t="s">
        <v>33</v>
      </c>
      <c r="D113" s="8" t="s">
        <v>34</v>
      </c>
      <c r="E113" s="8" t="s">
        <v>35</v>
      </c>
      <c r="F113" s="12">
        <f t="shared" si="4"/>
        <v>5733.75</v>
      </c>
      <c r="G113" s="8">
        <v>4587</v>
      </c>
      <c r="H113" s="14" t="s">
        <v>150</v>
      </c>
    </row>
    <row r="114" spans="1:8" x14ac:dyDescent="0.25">
      <c r="A114" s="8">
        <v>2013</v>
      </c>
      <c r="B114" s="8" t="s">
        <v>22</v>
      </c>
      <c r="C114" s="8" t="s">
        <v>24</v>
      </c>
      <c r="D114" s="8" t="s">
        <v>34</v>
      </c>
      <c r="E114" s="8" t="s">
        <v>35</v>
      </c>
      <c r="F114" s="12">
        <f t="shared" si="4"/>
        <v>7905</v>
      </c>
      <c r="G114" s="8">
        <v>6324</v>
      </c>
      <c r="H114" s="14" t="s">
        <v>151</v>
      </c>
    </row>
    <row r="115" spans="1:8" x14ac:dyDescent="0.25">
      <c r="A115" s="8">
        <v>2013</v>
      </c>
      <c r="B115" s="8" t="s">
        <v>23</v>
      </c>
      <c r="C115" s="8" t="s">
        <v>24</v>
      </c>
      <c r="D115" s="8" t="s">
        <v>30</v>
      </c>
      <c r="E115" s="8" t="s">
        <v>27</v>
      </c>
      <c r="F115" s="12">
        <f t="shared" si="4"/>
        <v>7028.75</v>
      </c>
      <c r="G115" s="8">
        <v>5623</v>
      </c>
      <c r="H115" s="14" t="s">
        <v>152</v>
      </c>
    </row>
    <row r="116" spans="1:8" x14ac:dyDescent="0.25">
      <c r="A116" s="8">
        <v>2013</v>
      </c>
      <c r="B116" s="8" t="s">
        <v>23</v>
      </c>
      <c r="C116" s="8" t="s">
        <v>24</v>
      </c>
      <c r="D116" s="8" t="s">
        <v>30</v>
      </c>
      <c r="E116" s="8" t="s">
        <v>27</v>
      </c>
      <c r="F116" s="12">
        <f t="shared" si="4"/>
        <v>9160</v>
      </c>
      <c r="G116" s="8">
        <v>7328</v>
      </c>
      <c r="H116" s="14" t="s">
        <v>153</v>
      </c>
    </row>
    <row r="117" spans="1:8" x14ac:dyDescent="0.25">
      <c r="A117" s="8">
        <v>2013</v>
      </c>
      <c r="B117" s="8" t="s">
        <v>23</v>
      </c>
      <c r="C117" s="8" t="s">
        <v>24</v>
      </c>
      <c r="D117" s="8" t="s">
        <v>30</v>
      </c>
      <c r="E117" s="8" t="s">
        <v>27</v>
      </c>
      <c r="F117" s="12">
        <f t="shared" si="4"/>
        <v>7028.75</v>
      </c>
      <c r="G117" s="8">
        <v>5623</v>
      </c>
      <c r="H117" s="14" t="s">
        <v>154</v>
      </c>
    </row>
    <row r="118" spans="1:8" x14ac:dyDescent="0.25">
      <c r="A118" s="8">
        <v>2013</v>
      </c>
      <c r="B118" s="8" t="s">
        <v>23</v>
      </c>
      <c r="C118" s="8" t="s">
        <v>24</v>
      </c>
      <c r="D118" s="8" t="s">
        <v>30</v>
      </c>
      <c r="E118" s="8" t="s">
        <v>27</v>
      </c>
      <c r="F118" s="12">
        <f t="shared" si="4"/>
        <v>9160</v>
      </c>
      <c r="G118" s="8">
        <v>7328</v>
      </c>
      <c r="H118" s="14" t="s">
        <v>155</v>
      </c>
    </row>
    <row r="119" spans="1:8" x14ac:dyDescent="0.25">
      <c r="A119" s="8">
        <v>2013</v>
      </c>
      <c r="B119" s="8" t="s">
        <v>23</v>
      </c>
      <c r="C119" s="8" t="s">
        <v>24</v>
      </c>
      <c r="D119" s="13" t="s">
        <v>38</v>
      </c>
      <c r="E119" s="8" t="s">
        <v>35</v>
      </c>
      <c r="F119" s="12">
        <f t="shared" si="4"/>
        <v>7028.75</v>
      </c>
      <c r="G119" s="8">
        <v>5623</v>
      </c>
      <c r="H119" s="14" t="s">
        <v>156</v>
      </c>
    </row>
    <row r="120" spans="1:8" x14ac:dyDescent="0.25">
      <c r="A120" s="8">
        <v>2013</v>
      </c>
      <c r="B120" s="8" t="s">
        <v>23</v>
      </c>
      <c r="C120" s="8" t="s">
        <v>31</v>
      </c>
      <c r="D120" s="13" t="s">
        <v>38</v>
      </c>
      <c r="E120" s="8" t="s">
        <v>35</v>
      </c>
      <c r="F120" s="12">
        <f t="shared" si="4"/>
        <v>3247.5</v>
      </c>
      <c r="G120" s="8">
        <v>2598</v>
      </c>
      <c r="H120" s="14" t="s">
        <v>157</v>
      </c>
    </row>
    <row r="121" spans="1:8" x14ac:dyDescent="0.25">
      <c r="A121" s="8">
        <v>2013</v>
      </c>
      <c r="B121" s="8" t="s">
        <v>23</v>
      </c>
      <c r="C121" s="8" t="s">
        <v>24</v>
      </c>
      <c r="D121" s="13" t="s">
        <v>38</v>
      </c>
      <c r="E121" s="8" t="s">
        <v>35</v>
      </c>
      <c r="F121" s="12">
        <f t="shared" si="4"/>
        <v>7028.75</v>
      </c>
      <c r="G121" s="8">
        <v>5623</v>
      </c>
      <c r="H121" s="14" t="s">
        <v>158</v>
      </c>
    </row>
    <row r="122" spans="1:8" x14ac:dyDescent="0.25">
      <c r="A122" s="8">
        <v>2013</v>
      </c>
      <c r="B122" s="8" t="s">
        <v>23</v>
      </c>
      <c r="C122" s="8" t="s">
        <v>31</v>
      </c>
      <c r="D122" s="13" t="s">
        <v>38</v>
      </c>
      <c r="E122" s="8" t="s">
        <v>35</v>
      </c>
      <c r="F122" s="12">
        <f t="shared" si="4"/>
        <v>3247.5</v>
      </c>
      <c r="G122" s="8">
        <v>2598</v>
      </c>
      <c r="H122" s="14" t="s">
        <v>159</v>
      </c>
    </row>
    <row r="123" spans="1:8" x14ac:dyDescent="0.25">
      <c r="A123" s="8">
        <v>2013</v>
      </c>
      <c r="B123" s="8" t="s">
        <v>23</v>
      </c>
      <c r="C123" s="8" t="s">
        <v>31</v>
      </c>
      <c r="D123" s="13" t="s">
        <v>39</v>
      </c>
      <c r="E123" s="13" t="s">
        <v>26</v>
      </c>
      <c r="F123" s="12">
        <f t="shared" si="4"/>
        <v>622.5</v>
      </c>
      <c r="G123" s="8">
        <v>498</v>
      </c>
      <c r="H123" s="14" t="s">
        <v>160</v>
      </c>
    </row>
    <row r="124" spans="1:8" x14ac:dyDescent="0.25">
      <c r="A124" s="8">
        <v>2013</v>
      </c>
      <c r="B124" s="8" t="s">
        <v>23</v>
      </c>
      <c r="C124" s="8" t="s">
        <v>33</v>
      </c>
      <c r="D124" s="13" t="s">
        <v>39</v>
      </c>
      <c r="E124" s="13" t="s">
        <v>26</v>
      </c>
      <c r="F124" s="12">
        <f t="shared" si="4"/>
        <v>5733.75</v>
      </c>
      <c r="G124" s="8">
        <v>4587</v>
      </c>
      <c r="H124" s="14" t="s">
        <v>161</v>
      </c>
    </row>
    <row r="125" spans="1:8" x14ac:dyDescent="0.25">
      <c r="A125" s="8">
        <v>2013</v>
      </c>
      <c r="B125" s="8" t="s">
        <v>23</v>
      </c>
      <c r="C125" s="8" t="s">
        <v>31</v>
      </c>
      <c r="D125" s="13" t="s">
        <v>39</v>
      </c>
      <c r="E125" s="13" t="s">
        <v>26</v>
      </c>
      <c r="F125" s="12">
        <f t="shared" si="4"/>
        <v>622.5</v>
      </c>
      <c r="G125" s="8">
        <v>498</v>
      </c>
      <c r="H125" s="14" t="s">
        <v>162</v>
      </c>
    </row>
    <row r="126" spans="1:8" x14ac:dyDescent="0.25">
      <c r="A126" s="8">
        <v>2013</v>
      </c>
      <c r="B126" s="8" t="s">
        <v>23</v>
      </c>
      <c r="C126" s="8" t="s">
        <v>33</v>
      </c>
      <c r="D126" s="13" t="s">
        <v>39</v>
      </c>
      <c r="E126" s="13" t="s">
        <v>26</v>
      </c>
      <c r="F126" s="12">
        <f t="shared" si="4"/>
        <v>5733.75</v>
      </c>
      <c r="G126" s="8">
        <v>4587</v>
      </c>
      <c r="H126" s="14" t="s">
        <v>163</v>
      </c>
    </row>
    <row r="127" spans="1:8" x14ac:dyDescent="0.25">
      <c r="A127" s="8">
        <v>2013</v>
      </c>
      <c r="B127" s="8" t="s">
        <v>23</v>
      </c>
      <c r="C127" s="8" t="s">
        <v>31</v>
      </c>
      <c r="D127" s="8" t="s">
        <v>32</v>
      </c>
      <c r="E127" s="13" t="s">
        <v>28</v>
      </c>
      <c r="F127" s="12">
        <f t="shared" si="4"/>
        <v>3247.5</v>
      </c>
      <c r="G127" s="8">
        <v>2598</v>
      </c>
      <c r="H127" s="14" t="s">
        <v>164</v>
      </c>
    </row>
    <row r="128" spans="1:8" x14ac:dyDescent="0.25">
      <c r="A128" s="8">
        <v>2013</v>
      </c>
      <c r="B128" s="8" t="s">
        <v>23</v>
      </c>
      <c r="C128" s="8" t="s">
        <v>36</v>
      </c>
      <c r="D128" s="8" t="s">
        <v>32</v>
      </c>
      <c r="E128" s="13" t="s">
        <v>28</v>
      </c>
      <c r="F128" s="12">
        <f t="shared" si="4"/>
        <v>2570</v>
      </c>
      <c r="G128" s="8">
        <v>2056</v>
      </c>
      <c r="H128" s="14" t="s">
        <v>165</v>
      </c>
    </row>
    <row r="129" spans="1:8" x14ac:dyDescent="0.25">
      <c r="A129" s="8">
        <v>2013</v>
      </c>
      <c r="B129" s="8" t="s">
        <v>23</v>
      </c>
      <c r="C129" s="8" t="s">
        <v>31</v>
      </c>
      <c r="D129" s="8" t="s">
        <v>32</v>
      </c>
      <c r="E129" s="13" t="s">
        <v>28</v>
      </c>
      <c r="F129" s="12">
        <f t="shared" si="4"/>
        <v>3247.5</v>
      </c>
      <c r="G129" s="8">
        <v>2598</v>
      </c>
      <c r="H129" s="14" t="s">
        <v>166</v>
      </c>
    </row>
    <row r="130" spans="1:8" x14ac:dyDescent="0.25">
      <c r="A130" s="8">
        <v>2013</v>
      </c>
      <c r="B130" s="8" t="s">
        <v>23</v>
      </c>
      <c r="C130" s="8" t="s">
        <v>36</v>
      </c>
      <c r="D130" s="8" t="s">
        <v>32</v>
      </c>
      <c r="E130" s="13" t="s">
        <v>28</v>
      </c>
      <c r="F130" s="12">
        <f t="shared" si="4"/>
        <v>2570</v>
      </c>
      <c r="G130" s="8">
        <v>2056</v>
      </c>
      <c r="H130" s="14" t="s">
        <v>167</v>
      </c>
    </row>
    <row r="131" spans="1:8" x14ac:dyDescent="0.25">
      <c r="A131" s="8">
        <v>2013</v>
      </c>
      <c r="B131" s="8" t="s">
        <v>23</v>
      </c>
      <c r="C131" s="8" t="s">
        <v>33</v>
      </c>
      <c r="D131" s="8" t="s">
        <v>34</v>
      </c>
      <c r="E131" s="8" t="s">
        <v>35</v>
      </c>
      <c r="F131" s="12">
        <f t="shared" si="4"/>
        <v>10308.75</v>
      </c>
      <c r="G131" s="8">
        <v>8247</v>
      </c>
      <c r="H131" s="14" t="s">
        <v>168</v>
      </c>
    </row>
    <row r="132" spans="1:8" x14ac:dyDescent="0.25">
      <c r="A132" s="8">
        <v>2013</v>
      </c>
      <c r="B132" s="8" t="s">
        <v>23</v>
      </c>
      <c r="C132" s="8" t="s">
        <v>24</v>
      </c>
      <c r="D132" s="8" t="s">
        <v>34</v>
      </c>
      <c r="E132" s="8" t="s">
        <v>35</v>
      </c>
      <c r="F132" s="12">
        <f t="shared" si="4"/>
        <v>11026.25</v>
      </c>
      <c r="G132" s="8">
        <v>8821</v>
      </c>
      <c r="H132" s="14" t="s">
        <v>169</v>
      </c>
    </row>
    <row r="133" spans="1:8" x14ac:dyDescent="0.25">
      <c r="A133" s="8">
        <v>2013</v>
      </c>
      <c r="B133" s="8" t="s">
        <v>23</v>
      </c>
      <c r="C133" s="8" t="s">
        <v>33</v>
      </c>
      <c r="D133" s="8" t="s">
        <v>34</v>
      </c>
      <c r="E133" s="8" t="s">
        <v>35</v>
      </c>
      <c r="F133" s="12">
        <f t="shared" si="4"/>
        <v>10308.75</v>
      </c>
      <c r="G133" s="8">
        <v>8247</v>
      </c>
      <c r="H133" s="14" t="s">
        <v>170</v>
      </c>
    </row>
    <row r="134" spans="1:8" x14ac:dyDescent="0.25">
      <c r="A134" s="8">
        <v>2013</v>
      </c>
      <c r="B134" s="8" t="s">
        <v>23</v>
      </c>
      <c r="C134" s="8" t="s">
        <v>24</v>
      </c>
      <c r="D134" s="8" t="s">
        <v>34</v>
      </c>
      <c r="E134" s="8" t="s">
        <v>35</v>
      </c>
      <c r="F134" s="12">
        <f t="shared" si="4"/>
        <v>11026.25</v>
      </c>
      <c r="G134" s="8">
        <v>8821</v>
      </c>
      <c r="H134" s="14" t="s">
        <v>171</v>
      </c>
    </row>
    <row r="135" spans="1:8" x14ac:dyDescent="0.25">
      <c r="A135" s="8">
        <v>2013</v>
      </c>
      <c r="B135" s="8" t="s">
        <v>37</v>
      </c>
      <c r="C135" s="8" t="s">
        <v>31</v>
      </c>
      <c r="D135" s="8" t="s">
        <v>30</v>
      </c>
      <c r="E135" s="8" t="s">
        <v>27</v>
      </c>
      <c r="F135" s="12">
        <f t="shared" si="4"/>
        <v>7360</v>
      </c>
      <c r="G135" s="8">
        <v>5888</v>
      </c>
      <c r="H135" s="14" t="s">
        <v>172</v>
      </c>
    </row>
    <row r="136" spans="1:8" x14ac:dyDescent="0.25">
      <c r="A136" s="8">
        <v>2013</v>
      </c>
      <c r="B136" s="8" t="s">
        <v>37</v>
      </c>
      <c r="C136" s="8" t="s">
        <v>24</v>
      </c>
      <c r="D136" s="8" t="s">
        <v>30</v>
      </c>
      <c r="E136" s="8" t="s">
        <v>27</v>
      </c>
      <c r="F136" s="12">
        <f t="shared" si="4"/>
        <v>11177.5</v>
      </c>
      <c r="G136" s="8">
        <v>8942</v>
      </c>
      <c r="H136" s="14" t="s">
        <v>173</v>
      </c>
    </row>
    <row r="137" spans="1:8" x14ac:dyDescent="0.25">
      <c r="A137" s="8">
        <v>2013</v>
      </c>
      <c r="B137" s="8" t="s">
        <v>37</v>
      </c>
      <c r="C137" s="8" t="s">
        <v>36</v>
      </c>
      <c r="D137" s="8" t="s">
        <v>30</v>
      </c>
      <c r="E137" s="8" t="s">
        <v>27</v>
      </c>
      <c r="F137" s="12">
        <f t="shared" si="4"/>
        <v>3355</v>
      </c>
      <c r="G137" s="8">
        <v>2684</v>
      </c>
      <c r="H137" s="14" t="s">
        <v>174</v>
      </c>
    </row>
    <row r="138" spans="1:8" x14ac:dyDescent="0.25">
      <c r="A138" s="8">
        <v>2013</v>
      </c>
      <c r="B138" s="8" t="s">
        <v>37</v>
      </c>
      <c r="C138" s="8" t="s">
        <v>31</v>
      </c>
      <c r="D138" s="8" t="s">
        <v>30</v>
      </c>
      <c r="E138" s="8" t="s">
        <v>27</v>
      </c>
      <c r="F138" s="12">
        <f t="shared" si="4"/>
        <v>7360</v>
      </c>
      <c r="G138" s="8">
        <v>5888</v>
      </c>
      <c r="H138" s="14" t="s">
        <v>175</v>
      </c>
    </row>
    <row r="139" spans="1:8" x14ac:dyDescent="0.25">
      <c r="A139" s="8">
        <v>2013</v>
      </c>
      <c r="B139" s="8" t="s">
        <v>37</v>
      </c>
      <c r="C139" s="8" t="s">
        <v>24</v>
      </c>
      <c r="D139" s="8" t="s">
        <v>30</v>
      </c>
      <c r="E139" s="8" t="s">
        <v>27</v>
      </c>
      <c r="F139" s="12">
        <f t="shared" si="4"/>
        <v>11177.5</v>
      </c>
      <c r="G139" s="8">
        <v>8942</v>
      </c>
      <c r="H139" s="14" t="s">
        <v>176</v>
      </c>
    </row>
    <row r="140" spans="1:8" x14ac:dyDescent="0.25">
      <c r="A140" s="8">
        <v>2013</v>
      </c>
      <c r="B140" s="8" t="s">
        <v>37</v>
      </c>
      <c r="C140" s="8" t="s">
        <v>36</v>
      </c>
      <c r="D140" s="8" t="s">
        <v>30</v>
      </c>
      <c r="E140" s="8" t="s">
        <v>27</v>
      </c>
      <c r="F140" s="12">
        <f t="shared" si="4"/>
        <v>3355</v>
      </c>
      <c r="G140" s="8">
        <v>2684</v>
      </c>
      <c r="H140" s="14" t="s">
        <v>177</v>
      </c>
    </row>
    <row r="141" spans="1:8" x14ac:dyDescent="0.25">
      <c r="A141" s="8">
        <v>2013</v>
      </c>
      <c r="B141" s="8" t="s">
        <v>37</v>
      </c>
      <c r="C141" s="8" t="s">
        <v>31</v>
      </c>
      <c r="D141" s="13" t="s">
        <v>38</v>
      </c>
      <c r="E141" s="8" t="s">
        <v>35</v>
      </c>
      <c r="F141" s="12">
        <f t="shared" si="4"/>
        <v>7360</v>
      </c>
      <c r="G141" s="8">
        <v>5888</v>
      </c>
      <c r="H141" s="14" t="s">
        <v>178</v>
      </c>
    </row>
    <row r="142" spans="1:8" x14ac:dyDescent="0.25">
      <c r="A142" s="8">
        <v>2013</v>
      </c>
      <c r="B142" s="8" t="s">
        <v>37</v>
      </c>
      <c r="C142" s="8" t="s">
        <v>33</v>
      </c>
      <c r="D142" s="13" t="s">
        <v>38</v>
      </c>
      <c r="E142" s="8" t="s">
        <v>35</v>
      </c>
      <c r="F142" s="12">
        <f t="shared" si="4"/>
        <v>2956.25</v>
      </c>
      <c r="G142" s="8">
        <v>2365</v>
      </c>
      <c r="H142" s="14" t="s">
        <v>179</v>
      </c>
    </row>
    <row r="143" spans="1:8" x14ac:dyDescent="0.25">
      <c r="A143" s="8">
        <v>2013</v>
      </c>
      <c r="B143" s="8" t="s">
        <v>37</v>
      </c>
      <c r="C143" s="8" t="s">
        <v>31</v>
      </c>
      <c r="D143" s="13" t="s">
        <v>38</v>
      </c>
      <c r="E143" s="8" t="s">
        <v>35</v>
      </c>
      <c r="F143" s="12">
        <f t="shared" si="4"/>
        <v>7360</v>
      </c>
      <c r="G143" s="8">
        <v>5888</v>
      </c>
      <c r="H143" s="14" t="s">
        <v>180</v>
      </c>
    </row>
    <row r="144" spans="1:8" x14ac:dyDescent="0.25">
      <c r="A144" s="8">
        <v>2013</v>
      </c>
      <c r="B144" s="8" t="s">
        <v>37</v>
      </c>
      <c r="C144" s="8" t="s">
        <v>33</v>
      </c>
      <c r="D144" s="13" t="s">
        <v>38</v>
      </c>
      <c r="E144" s="8" t="s">
        <v>35</v>
      </c>
      <c r="F144" s="12">
        <f t="shared" si="4"/>
        <v>2956.25</v>
      </c>
      <c r="G144" s="8">
        <v>2365</v>
      </c>
      <c r="H144" s="14" t="s">
        <v>181</v>
      </c>
    </row>
    <row r="145" spans="1:8" x14ac:dyDescent="0.25">
      <c r="A145" s="8">
        <v>2013</v>
      </c>
      <c r="B145" s="8" t="s">
        <v>37</v>
      </c>
      <c r="C145" s="8" t="s">
        <v>24</v>
      </c>
      <c r="D145" s="13" t="s">
        <v>39</v>
      </c>
      <c r="E145" s="13" t="s">
        <v>26</v>
      </c>
      <c r="F145" s="12">
        <f t="shared" si="4"/>
        <v>7905</v>
      </c>
      <c r="G145" s="8">
        <v>6324</v>
      </c>
      <c r="H145" s="14" t="s">
        <v>182</v>
      </c>
    </row>
    <row r="146" spans="1:8" x14ac:dyDescent="0.25">
      <c r="A146" s="8">
        <v>2013</v>
      </c>
      <c r="B146" s="8" t="s">
        <v>37</v>
      </c>
      <c r="C146" s="8" t="s">
        <v>36</v>
      </c>
      <c r="D146" s="13" t="s">
        <v>39</v>
      </c>
      <c r="E146" s="13" t="s">
        <v>26</v>
      </c>
      <c r="F146" s="12">
        <f t="shared" si="4"/>
        <v>6118.75</v>
      </c>
      <c r="G146" s="8">
        <v>4895</v>
      </c>
      <c r="H146" s="14" t="s">
        <v>183</v>
      </c>
    </row>
    <row r="147" spans="1:8" x14ac:dyDescent="0.25">
      <c r="A147" s="8">
        <v>2013</v>
      </c>
      <c r="B147" s="8" t="s">
        <v>37</v>
      </c>
      <c r="C147" s="8" t="s">
        <v>24</v>
      </c>
      <c r="D147" s="13" t="s">
        <v>39</v>
      </c>
      <c r="E147" s="13" t="s">
        <v>26</v>
      </c>
      <c r="F147" s="12">
        <f t="shared" si="4"/>
        <v>7905</v>
      </c>
      <c r="G147" s="8">
        <v>6324</v>
      </c>
      <c r="H147" s="14" t="s">
        <v>184</v>
      </c>
    </row>
    <row r="148" spans="1:8" x14ac:dyDescent="0.25">
      <c r="A148" s="8">
        <v>2013</v>
      </c>
      <c r="B148" s="8" t="s">
        <v>37</v>
      </c>
      <c r="C148" s="8" t="s">
        <v>36</v>
      </c>
      <c r="D148" s="13" t="s">
        <v>39</v>
      </c>
      <c r="E148" s="13" t="s">
        <v>26</v>
      </c>
      <c r="F148" s="12">
        <f t="shared" si="4"/>
        <v>6118.75</v>
      </c>
      <c r="G148" s="8">
        <v>4895</v>
      </c>
      <c r="H148" s="14" t="s">
        <v>185</v>
      </c>
    </row>
    <row r="149" spans="1:8" x14ac:dyDescent="0.25">
      <c r="A149" s="8">
        <v>2013</v>
      </c>
      <c r="B149" s="8" t="s">
        <v>37</v>
      </c>
      <c r="C149" s="8" t="s">
        <v>33</v>
      </c>
      <c r="D149" s="8" t="s">
        <v>32</v>
      </c>
      <c r="E149" s="13" t="s">
        <v>28</v>
      </c>
      <c r="F149" s="12">
        <f t="shared" si="4"/>
        <v>2956.25</v>
      </c>
      <c r="G149" s="8">
        <v>2365</v>
      </c>
      <c r="H149" s="14" t="s">
        <v>186</v>
      </c>
    </row>
    <row r="150" spans="1:8" x14ac:dyDescent="0.25">
      <c r="A150" s="8">
        <v>2013</v>
      </c>
      <c r="B150" s="8" t="s">
        <v>37</v>
      </c>
      <c r="C150" s="8" t="s">
        <v>24</v>
      </c>
      <c r="D150" s="8" t="s">
        <v>32</v>
      </c>
      <c r="E150" s="13" t="s">
        <v>28</v>
      </c>
      <c r="F150" s="12">
        <f t="shared" si="4"/>
        <v>2698.75</v>
      </c>
      <c r="G150" s="8">
        <v>2159</v>
      </c>
      <c r="H150" s="14" t="s">
        <v>187</v>
      </c>
    </row>
    <row r="151" spans="1:8" x14ac:dyDescent="0.25">
      <c r="A151" s="8">
        <v>2013</v>
      </c>
      <c r="B151" s="8" t="s">
        <v>37</v>
      </c>
      <c r="C151" s="8" t="s">
        <v>33</v>
      </c>
      <c r="D151" s="8" t="s">
        <v>32</v>
      </c>
      <c r="E151" s="13" t="s">
        <v>28</v>
      </c>
      <c r="F151" s="12">
        <f t="shared" si="4"/>
        <v>2956.25</v>
      </c>
      <c r="G151" s="8">
        <v>2365</v>
      </c>
      <c r="H151" s="14" t="s">
        <v>188</v>
      </c>
    </row>
    <row r="152" spans="1:8" x14ac:dyDescent="0.25">
      <c r="A152" s="8">
        <v>2013</v>
      </c>
      <c r="B152" s="8" t="s">
        <v>37</v>
      </c>
      <c r="C152" s="8" t="s">
        <v>24</v>
      </c>
      <c r="D152" s="8" t="s">
        <v>32</v>
      </c>
      <c r="E152" s="13" t="s">
        <v>28</v>
      </c>
      <c r="F152" s="12">
        <f t="shared" si="4"/>
        <v>2698.75</v>
      </c>
      <c r="G152" s="8">
        <v>2159</v>
      </c>
      <c r="H152" s="14" t="s">
        <v>189</v>
      </c>
    </row>
    <row r="153" spans="1:8" x14ac:dyDescent="0.25">
      <c r="A153" s="8">
        <v>2014</v>
      </c>
      <c r="B153" s="8" t="s">
        <v>20</v>
      </c>
      <c r="C153" s="8" t="s">
        <v>24</v>
      </c>
      <c r="D153" s="8" t="s">
        <v>30</v>
      </c>
      <c r="E153" s="8" t="s">
        <v>27</v>
      </c>
      <c r="F153" s="12">
        <f t="shared" ref="F153:F158" si="5">G153*1.5</f>
        <v>2395.5</v>
      </c>
      <c r="G153" s="8">
        <v>1597</v>
      </c>
      <c r="H153" s="14" t="s">
        <v>190</v>
      </c>
    </row>
    <row r="154" spans="1:8" x14ac:dyDescent="0.25">
      <c r="A154" s="8">
        <v>2014</v>
      </c>
      <c r="B154" s="8" t="s">
        <v>20</v>
      </c>
      <c r="C154" s="8" t="s">
        <v>24</v>
      </c>
      <c r="D154" s="8" t="s">
        <v>30</v>
      </c>
      <c r="E154" s="8" t="s">
        <v>27</v>
      </c>
      <c r="F154" s="12">
        <f t="shared" si="5"/>
        <v>11761.5</v>
      </c>
      <c r="G154" s="8">
        <v>7841</v>
      </c>
      <c r="H154" s="14" t="s">
        <v>191</v>
      </c>
    </row>
    <row r="155" spans="1:8" x14ac:dyDescent="0.25">
      <c r="A155" s="8">
        <v>2014</v>
      </c>
      <c r="B155" s="8" t="s">
        <v>20</v>
      </c>
      <c r="C155" s="8" t="s">
        <v>31</v>
      </c>
      <c r="D155" s="8" t="s">
        <v>30</v>
      </c>
      <c r="E155" s="8" t="s">
        <v>27</v>
      </c>
      <c r="F155" s="12">
        <f t="shared" si="5"/>
        <v>8943</v>
      </c>
      <c r="G155" s="8">
        <v>5962</v>
      </c>
      <c r="H155" s="14" t="s">
        <v>192</v>
      </c>
    </row>
    <row r="156" spans="1:8" x14ac:dyDescent="0.25">
      <c r="A156" s="8">
        <v>2014</v>
      </c>
      <c r="B156" s="8" t="s">
        <v>20</v>
      </c>
      <c r="C156" s="8" t="s">
        <v>24</v>
      </c>
      <c r="D156" s="8" t="s">
        <v>30</v>
      </c>
      <c r="E156" s="8" t="s">
        <v>27</v>
      </c>
      <c r="F156" s="12">
        <f t="shared" si="5"/>
        <v>2395.5</v>
      </c>
      <c r="G156" s="8">
        <v>1597</v>
      </c>
      <c r="H156" s="14" t="s">
        <v>193</v>
      </c>
    </row>
    <row r="157" spans="1:8" x14ac:dyDescent="0.25">
      <c r="A157" s="8">
        <v>2014</v>
      </c>
      <c r="B157" s="8" t="s">
        <v>20</v>
      </c>
      <c r="C157" s="8" t="s">
        <v>24</v>
      </c>
      <c r="D157" s="8" t="s">
        <v>30</v>
      </c>
      <c r="E157" s="8" t="s">
        <v>27</v>
      </c>
      <c r="F157" s="12">
        <f t="shared" si="5"/>
        <v>11761.5</v>
      </c>
      <c r="G157" s="8">
        <v>7841</v>
      </c>
      <c r="H157" s="14" t="s">
        <v>194</v>
      </c>
    </row>
    <row r="158" spans="1:8" x14ac:dyDescent="0.25">
      <c r="A158" s="8">
        <v>2014</v>
      </c>
      <c r="B158" s="8" t="s">
        <v>20</v>
      </c>
      <c r="C158" s="8" t="s">
        <v>31</v>
      </c>
      <c r="D158" s="8" t="s">
        <v>30</v>
      </c>
      <c r="E158" s="8" t="s">
        <v>27</v>
      </c>
      <c r="F158" s="12">
        <f t="shared" si="5"/>
        <v>8943</v>
      </c>
      <c r="G158" s="8">
        <v>5962</v>
      </c>
      <c r="H158" s="14" t="s">
        <v>195</v>
      </c>
    </row>
    <row r="159" spans="1:8" x14ac:dyDescent="0.25">
      <c r="A159" s="8">
        <v>2014</v>
      </c>
      <c r="B159" s="8" t="s">
        <v>20</v>
      </c>
      <c r="C159" s="8" t="s">
        <v>31</v>
      </c>
      <c r="D159" s="13" t="s">
        <v>38</v>
      </c>
      <c r="E159" s="8" t="s">
        <v>35</v>
      </c>
      <c r="F159" s="12">
        <v>14596.5</v>
      </c>
      <c r="G159" s="8">
        <v>9731</v>
      </c>
      <c r="H159" s="14" t="s">
        <v>196</v>
      </c>
    </row>
    <row r="160" spans="1:8" x14ac:dyDescent="0.25">
      <c r="A160" s="8">
        <v>2014</v>
      </c>
      <c r="B160" s="8" t="s">
        <v>20</v>
      </c>
      <c r="C160" s="8" t="s">
        <v>33</v>
      </c>
      <c r="D160" s="13" t="s">
        <v>38</v>
      </c>
      <c r="E160" s="8" t="s">
        <v>35</v>
      </c>
      <c r="F160" s="12">
        <v>8793</v>
      </c>
      <c r="G160" s="8">
        <v>5862</v>
      </c>
      <c r="H160" s="14" t="s">
        <v>197</v>
      </c>
    </row>
    <row r="161" spans="1:8" x14ac:dyDescent="0.25">
      <c r="A161" s="8">
        <v>2014</v>
      </c>
      <c r="B161" s="8" t="s">
        <v>20</v>
      </c>
      <c r="C161" s="8" t="s">
        <v>31</v>
      </c>
      <c r="D161" s="13" t="s">
        <v>38</v>
      </c>
      <c r="E161" s="8" t="s">
        <v>35</v>
      </c>
      <c r="F161" s="12">
        <v>14596.5</v>
      </c>
      <c r="G161" s="8">
        <v>9731</v>
      </c>
      <c r="H161" s="14" t="s">
        <v>198</v>
      </c>
    </row>
    <row r="162" spans="1:8" x14ac:dyDescent="0.25">
      <c r="A162" s="8">
        <v>2014</v>
      </c>
      <c r="B162" s="8" t="s">
        <v>20</v>
      </c>
      <c r="C162" s="8" t="s">
        <v>33</v>
      </c>
      <c r="D162" s="13" t="s">
        <v>38</v>
      </c>
      <c r="E162" s="8" t="s">
        <v>35</v>
      </c>
      <c r="F162" s="12">
        <v>8793</v>
      </c>
      <c r="G162" s="8">
        <v>5862</v>
      </c>
      <c r="H162" s="14" t="s">
        <v>199</v>
      </c>
    </row>
    <row r="163" spans="1:8" x14ac:dyDescent="0.25">
      <c r="A163" s="8">
        <v>2014</v>
      </c>
      <c r="B163" s="8" t="s">
        <v>20</v>
      </c>
      <c r="C163" s="8" t="s">
        <v>24</v>
      </c>
      <c r="D163" s="13" t="s">
        <v>39</v>
      </c>
      <c r="E163" s="13" t="s">
        <v>26</v>
      </c>
      <c r="F163" s="12">
        <v>4666</v>
      </c>
      <c r="G163" s="8">
        <v>5623</v>
      </c>
      <c r="H163" s="14" t="s">
        <v>200</v>
      </c>
    </row>
    <row r="164" spans="1:8" x14ac:dyDescent="0.25">
      <c r="A164" s="8">
        <v>2014</v>
      </c>
      <c r="B164" s="8" t="s">
        <v>20</v>
      </c>
      <c r="C164" s="8" t="s">
        <v>24</v>
      </c>
      <c r="D164" s="13" t="s">
        <v>39</v>
      </c>
      <c r="E164" s="13" t="s">
        <v>26</v>
      </c>
      <c r="F164" s="12">
        <f>G164*1.5</f>
        <v>7318.5</v>
      </c>
      <c r="G164" s="8">
        <v>4879</v>
      </c>
      <c r="H164" s="14" t="s">
        <v>201</v>
      </c>
    </row>
    <row r="165" spans="1:8" x14ac:dyDescent="0.25">
      <c r="A165" s="8">
        <v>2014</v>
      </c>
      <c r="B165" s="8" t="s">
        <v>20</v>
      </c>
      <c r="C165" s="8" t="s">
        <v>24</v>
      </c>
      <c r="D165" s="13" t="s">
        <v>39</v>
      </c>
      <c r="E165" s="13" t="s">
        <v>26</v>
      </c>
      <c r="F165" s="12">
        <v>4666</v>
      </c>
      <c r="G165" s="8">
        <v>5623</v>
      </c>
      <c r="H165" s="14" t="s">
        <v>202</v>
      </c>
    </row>
    <row r="166" spans="1:8" x14ac:dyDescent="0.25">
      <c r="A166" s="8">
        <v>2014</v>
      </c>
      <c r="B166" s="8" t="s">
        <v>20</v>
      </c>
      <c r="C166" s="8" t="s">
        <v>24</v>
      </c>
      <c r="D166" s="13" t="s">
        <v>39</v>
      </c>
      <c r="E166" s="13" t="s">
        <v>26</v>
      </c>
      <c r="F166" s="12">
        <f t="shared" ref="F166:F174" si="6">G166*1.5</f>
        <v>7318.5</v>
      </c>
      <c r="G166" s="8">
        <v>4879</v>
      </c>
      <c r="H166" s="14" t="s">
        <v>203</v>
      </c>
    </row>
    <row r="167" spans="1:8" x14ac:dyDescent="0.25">
      <c r="A167" s="8">
        <v>2014</v>
      </c>
      <c r="B167" s="8" t="s">
        <v>20</v>
      </c>
      <c r="C167" s="8" t="s">
        <v>36</v>
      </c>
      <c r="D167" s="8" t="s">
        <v>32</v>
      </c>
      <c r="E167" s="13" t="s">
        <v>28</v>
      </c>
      <c r="F167" s="12">
        <f t="shared" si="6"/>
        <v>3553.5</v>
      </c>
      <c r="G167" s="8">
        <v>2369</v>
      </c>
      <c r="H167" s="14" t="s">
        <v>204</v>
      </c>
    </row>
    <row r="168" spans="1:8" x14ac:dyDescent="0.25">
      <c r="A168" s="8">
        <v>2014</v>
      </c>
      <c r="B168" s="8" t="s">
        <v>20</v>
      </c>
      <c r="C168" s="8" t="s">
        <v>36</v>
      </c>
      <c r="D168" s="8" t="s">
        <v>32</v>
      </c>
      <c r="E168" s="13" t="s">
        <v>28</v>
      </c>
      <c r="F168" s="12">
        <f t="shared" si="6"/>
        <v>3553.5</v>
      </c>
      <c r="G168" s="8">
        <v>2369</v>
      </c>
      <c r="H168" s="14" t="s">
        <v>205</v>
      </c>
    </row>
    <row r="169" spans="1:8" x14ac:dyDescent="0.25">
      <c r="A169" s="8">
        <v>2014</v>
      </c>
      <c r="B169" s="8" t="s">
        <v>20</v>
      </c>
      <c r="C169" s="8" t="s">
        <v>31</v>
      </c>
      <c r="D169" s="8" t="s">
        <v>34</v>
      </c>
      <c r="E169" s="8" t="s">
        <v>35</v>
      </c>
      <c r="F169" s="12">
        <f t="shared" si="6"/>
        <v>14596.5</v>
      </c>
      <c r="G169" s="8">
        <v>9731</v>
      </c>
      <c r="H169" s="14" t="s">
        <v>206</v>
      </c>
    </row>
    <row r="170" spans="1:8" x14ac:dyDescent="0.25">
      <c r="A170" s="8">
        <v>2014</v>
      </c>
      <c r="B170" s="8" t="s">
        <v>20</v>
      </c>
      <c r="C170" s="8" t="s">
        <v>33</v>
      </c>
      <c r="D170" s="8" t="s">
        <v>34</v>
      </c>
      <c r="E170" s="8" t="s">
        <v>35</v>
      </c>
      <c r="F170" s="12">
        <f t="shared" si="6"/>
        <v>8793</v>
      </c>
      <c r="G170" s="8">
        <v>5862</v>
      </c>
      <c r="H170" s="14" t="s">
        <v>207</v>
      </c>
    </row>
    <row r="171" spans="1:8" x14ac:dyDescent="0.25">
      <c r="A171" s="8">
        <v>2014</v>
      </c>
      <c r="B171" s="8" t="s">
        <v>20</v>
      </c>
      <c r="C171" s="8" t="s">
        <v>31</v>
      </c>
      <c r="D171" s="8" t="s">
        <v>34</v>
      </c>
      <c r="E171" s="8" t="s">
        <v>35</v>
      </c>
      <c r="F171" s="12">
        <f t="shared" si="6"/>
        <v>14596.5</v>
      </c>
      <c r="G171" s="8">
        <v>9731</v>
      </c>
      <c r="H171" s="14" t="s">
        <v>208</v>
      </c>
    </row>
    <row r="172" spans="1:8" x14ac:dyDescent="0.25">
      <c r="A172" s="8">
        <v>2014</v>
      </c>
      <c r="B172" s="8" t="s">
        <v>20</v>
      </c>
      <c r="C172" s="8" t="s">
        <v>33</v>
      </c>
      <c r="D172" s="8" t="s">
        <v>34</v>
      </c>
      <c r="E172" s="8" t="s">
        <v>35</v>
      </c>
      <c r="F172" s="12">
        <f t="shared" si="6"/>
        <v>8793</v>
      </c>
      <c r="G172" s="8">
        <v>5862</v>
      </c>
      <c r="H172" s="14" t="s">
        <v>209</v>
      </c>
    </row>
    <row r="173" spans="1:8" x14ac:dyDescent="0.25">
      <c r="A173" s="8">
        <v>2014</v>
      </c>
      <c r="B173" s="8" t="s">
        <v>19</v>
      </c>
      <c r="C173" s="8" t="s">
        <v>24</v>
      </c>
      <c r="D173" s="8" t="s">
        <v>30</v>
      </c>
      <c r="E173" s="8" t="s">
        <v>27</v>
      </c>
      <c r="F173" s="12">
        <f t="shared" si="6"/>
        <v>4887</v>
      </c>
      <c r="G173" s="8">
        <v>3258</v>
      </c>
      <c r="H173" s="14" t="s">
        <v>210</v>
      </c>
    </row>
    <row r="174" spans="1:8" x14ac:dyDescent="0.25">
      <c r="A174" s="8">
        <v>2014</v>
      </c>
      <c r="B174" s="8" t="s">
        <v>19</v>
      </c>
      <c r="C174" s="8" t="s">
        <v>24</v>
      </c>
      <c r="D174" s="8" t="s">
        <v>30</v>
      </c>
      <c r="E174" s="8" t="s">
        <v>27</v>
      </c>
      <c r="F174" s="12">
        <f t="shared" si="6"/>
        <v>4887</v>
      </c>
      <c r="G174" s="8">
        <v>3258</v>
      </c>
      <c r="H174" s="14" t="s">
        <v>211</v>
      </c>
    </row>
    <row r="175" spans="1:8" x14ac:dyDescent="0.25">
      <c r="A175" s="8">
        <v>2014</v>
      </c>
      <c r="B175" s="8" t="s">
        <v>19</v>
      </c>
      <c r="C175" s="8" t="s">
        <v>33</v>
      </c>
      <c r="D175" s="13" t="s">
        <v>38</v>
      </c>
      <c r="E175" s="8" t="s">
        <v>35</v>
      </c>
      <c r="F175" s="12">
        <v>11122.5</v>
      </c>
      <c r="G175" s="8">
        <v>7415</v>
      </c>
      <c r="H175" s="14" t="s">
        <v>212</v>
      </c>
    </row>
    <row r="176" spans="1:8" x14ac:dyDescent="0.25">
      <c r="A176" s="8">
        <v>2014</v>
      </c>
      <c r="B176" s="8" t="s">
        <v>19</v>
      </c>
      <c r="C176" s="8" t="s">
        <v>24</v>
      </c>
      <c r="D176" s="13" t="s">
        <v>38</v>
      </c>
      <c r="E176" s="8" t="s">
        <v>35</v>
      </c>
      <c r="F176" s="12">
        <v>13428</v>
      </c>
      <c r="G176" s="8">
        <v>8952</v>
      </c>
      <c r="H176" s="14" t="s">
        <v>213</v>
      </c>
    </row>
    <row r="177" spans="1:8" x14ac:dyDescent="0.25">
      <c r="A177" s="8">
        <v>2014</v>
      </c>
      <c r="B177" s="8" t="s">
        <v>19</v>
      </c>
      <c r="C177" s="8" t="s">
        <v>33</v>
      </c>
      <c r="D177" s="13" t="s">
        <v>38</v>
      </c>
      <c r="E177" s="8" t="s">
        <v>35</v>
      </c>
      <c r="F177" s="12">
        <v>11122.5</v>
      </c>
      <c r="G177" s="8">
        <v>7415</v>
      </c>
      <c r="H177" s="14" t="s">
        <v>214</v>
      </c>
    </row>
    <row r="178" spans="1:8" x14ac:dyDescent="0.25">
      <c r="A178" s="8">
        <v>2014</v>
      </c>
      <c r="B178" s="8" t="s">
        <v>19</v>
      </c>
      <c r="C178" s="8" t="s">
        <v>24</v>
      </c>
      <c r="D178" s="13" t="s">
        <v>38</v>
      </c>
      <c r="E178" s="8" t="s">
        <v>35</v>
      </c>
      <c r="F178" s="12">
        <v>13428</v>
      </c>
      <c r="G178" s="8">
        <v>8952</v>
      </c>
      <c r="H178" s="14" t="s">
        <v>215</v>
      </c>
    </row>
    <row r="179" spans="1:8" x14ac:dyDescent="0.25">
      <c r="A179" s="8">
        <v>2014</v>
      </c>
      <c r="B179" s="8" t="s">
        <v>19</v>
      </c>
      <c r="C179" s="8" t="s">
        <v>31</v>
      </c>
      <c r="D179" s="13" t="s">
        <v>39</v>
      </c>
      <c r="E179" s="13" t="s">
        <v>26</v>
      </c>
      <c r="F179" s="12">
        <v>3897</v>
      </c>
      <c r="G179" s="8">
        <v>2598</v>
      </c>
      <c r="H179" s="14" t="s">
        <v>216</v>
      </c>
    </row>
    <row r="180" spans="1:8" x14ac:dyDescent="0.25">
      <c r="A180" s="8">
        <v>2014</v>
      </c>
      <c r="B180" s="8" t="s">
        <v>19</v>
      </c>
      <c r="C180" s="8" t="s">
        <v>31</v>
      </c>
      <c r="D180" s="13" t="s">
        <v>39</v>
      </c>
      <c r="E180" s="13" t="s">
        <v>26</v>
      </c>
      <c r="F180" s="12">
        <v>8832</v>
      </c>
      <c r="G180" s="8">
        <v>5888</v>
      </c>
      <c r="H180" s="14" t="s">
        <v>217</v>
      </c>
    </row>
    <row r="181" spans="1:8" x14ac:dyDescent="0.25">
      <c r="A181" s="8">
        <v>2014</v>
      </c>
      <c r="B181" s="8" t="s">
        <v>19</v>
      </c>
      <c r="C181" s="8" t="s">
        <v>31</v>
      </c>
      <c r="D181" s="13" t="s">
        <v>39</v>
      </c>
      <c r="E181" s="13" t="s">
        <v>26</v>
      </c>
      <c r="F181" s="12">
        <v>3897</v>
      </c>
      <c r="G181" s="8">
        <v>2598</v>
      </c>
      <c r="H181" s="14" t="s">
        <v>218</v>
      </c>
    </row>
    <row r="182" spans="1:8" x14ac:dyDescent="0.25">
      <c r="A182" s="8">
        <v>2014</v>
      </c>
      <c r="B182" s="8" t="s">
        <v>19</v>
      </c>
      <c r="C182" s="8" t="s">
        <v>31</v>
      </c>
      <c r="D182" s="13" t="s">
        <v>39</v>
      </c>
      <c r="E182" s="13" t="s">
        <v>26</v>
      </c>
      <c r="F182" s="12">
        <v>8832</v>
      </c>
      <c r="G182" s="8">
        <v>5888</v>
      </c>
      <c r="H182" s="14" t="s">
        <v>219</v>
      </c>
    </row>
    <row r="183" spans="1:8" x14ac:dyDescent="0.25">
      <c r="A183" s="8">
        <v>2014</v>
      </c>
      <c r="B183" s="8" t="s">
        <v>19</v>
      </c>
      <c r="C183" s="8" t="s">
        <v>33</v>
      </c>
      <c r="D183" s="8" t="s">
        <v>32</v>
      </c>
      <c r="E183" s="13" t="s">
        <v>28</v>
      </c>
      <c r="F183" s="12">
        <f t="shared" ref="F183:F194" si="7">G183*1.5</f>
        <v>11122.5</v>
      </c>
      <c r="G183" s="8">
        <v>7415</v>
      </c>
      <c r="H183" s="14" t="s">
        <v>220</v>
      </c>
    </row>
    <row r="184" spans="1:8" x14ac:dyDescent="0.25">
      <c r="A184" s="8">
        <v>2014</v>
      </c>
      <c r="B184" s="8" t="s">
        <v>19</v>
      </c>
      <c r="C184" s="8" t="s">
        <v>31</v>
      </c>
      <c r="D184" s="8" t="s">
        <v>32</v>
      </c>
      <c r="E184" s="13" t="s">
        <v>28</v>
      </c>
      <c r="F184" s="12">
        <f t="shared" si="7"/>
        <v>14647.5</v>
      </c>
      <c r="G184" s="8">
        <v>9765</v>
      </c>
      <c r="H184" s="14" t="s">
        <v>221</v>
      </c>
    </row>
    <row r="185" spans="1:8" x14ac:dyDescent="0.25">
      <c r="A185" s="8">
        <v>2014</v>
      </c>
      <c r="B185" s="8" t="s">
        <v>19</v>
      </c>
      <c r="C185" s="8" t="s">
        <v>33</v>
      </c>
      <c r="D185" s="8" t="s">
        <v>32</v>
      </c>
      <c r="E185" s="13" t="s">
        <v>28</v>
      </c>
      <c r="F185" s="12">
        <f t="shared" si="7"/>
        <v>11122.5</v>
      </c>
      <c r="G185" s="8">
        <v>7415</v>
      </c>
      <c r="H185" s="14" t="s">
        <v>222</v>
      </c>
    </row>
    <row r="186" spans="1:8" x14ac:dyDescent="0.25">
      <c r="A186" s="8">
        <v>2014</v>
      </c>
      <c r="B186" s="8" t="s">
        <v>19</v>
      </c>
      <c r="C186" s="8" t="s">
        <v>31</v>
      </c>
      <c r="D186" s="8" t="s">
        <v>32</v>
      </c>
      <c r="E186" s="13" t="s">
        <v>28</v>
      </c>
      <c r="F186" s="12">
        <f t="shared" si="7"/>
        <v>14647.5</v>
      </c>
      <c r="G186" s="8">
        <v>9765</v>
      </c>
      <c r="H186" s="14" t="s">
        <v>223</v>
      </c>
    </row>
    <row r="187" spans="1:8" x14ac:dyDescent="0.25">
      <c r="A187" s="8">
        <v>2014</v>
      </c>
      <c r="B187" s="8" t="s">
        <v>19</v>
      </c>
      <c r="C187" s="8" t="s">
        <v>24</v>
      </c>
      <c r="D187" s="8" t="s">
        <v>34</v>
      </c>
      <c r="E187" s="8" t="s">
        <v>35</v>
      </c>
      <c r="F187" s="12">
        <f t="shared" si="7"/>
        <v>13428</v>
      </c>
      <c r="G187" s="8">
        <v>8952</v>
      </c>
      <c r="H187" s="14" t="s">
        <v>224</v>
      </c>
    </row>
    <row r="188" spans="1:8" x14ac:dyDescent="0.25">
      <c r="A188" s="8">
        <v>2014</v>
      </c>
      <c r="B188" s="8" t="s">
        <v>19</v>
      </c>
      <c r="C188" s="8" t="s">
        <v>36</v>
      </c>
      <c r="D188" s="8" t="s">
        <v>34</v>
      </c>
      <c r="E188" s="8" t="s">
        <v>35</v>
      </c>
      <c r="F188" s="12">
        <f t="shared" si="7"/>
        <v>7480.5</v>
      </c>
      <c r="G188" s="8">
        <v>4987</v>
      </c>
      <c r="H188" s="14" t="s">
        <v>225</v>
      </c>
    </row>
    <row r="189" spans="1:8" x14ac:dyDescent="0.25">
      <c r="A189" s="8">
        <v>2014</v>
      </c>
      <c r="B189" s="8" t="s">
        <v>19</v>
      </c>
      <c r="C189" s="8" t="s">
        <v>24</v>
      </c>
      <c r="D189" s="8" t="s">
        <v>34</v>
      </c>
      <c r="E189" s="8" t="s">
        <v>35</v>
      </c>
      <c r="F189" s="12">
        <f t="shared" si="7"/>
        <v>13428</v>
      </c>
      <c r="G189" s="8">
        <v>8952</v>
      </c>
      <c r="H189" s="14" t="s">
        <v>226</v>
      </c>
    </row>
    <row r="190" spans="1:8" x14ac:dyDescent="0.25">
      <c r="A190" s="8">
        <v>2014</v>
      </c>
      <c r="B190" s="8" t="s">
        <v>19</v>
      </c>
      <c r="C190" s="8" t="s">
        <v>36</v>
      </c>
      <c r="D190" s="8" t="s">
        <v>34</v>
      </c>
      <c r="E190" s="8" t="s">
        <v>35</v>
      </c>
      <c r="F190" s="12">
        <f t="shared" si="7"/>
        <v>7480.5</v>
      </c>
      <c r="G190" s="8">
        <v>4987</v>
      </c>
      <c r="H190" s="14" t="s">
        <v>227</v>
      </c>
    </row>
    <row r="191" spans="1:8" x14ac:dyDescent="0.25">
      <c r="A191" s="8">
        <v>2014</v>
      </c>
      <c r="B191" s="8" t="s">
        <v>21</v>
      </c>
      <c r="C191" s="8" t="s">
        <v>33</v>
      </c>
      <c r="D191" s="8" t="s">
        <v>30</v>
      </c>
      <c r="E191" s="8" t="s">
        <v>27</v>
      </c>
      <c r="F191" s="12">
        <f t="shared" si="7"/>
        <v>14619</v>
      </c>
      <c r="G191" s="8">
        <v>9746</v>
      </c>
      <c r="H191" s="14" t="s">
        <v>228</v>
      </c>
    </row>
    <row r="192" spans="1:8" x14ac:dyDescent="0.25">
      <c r="A192" s="8">
        <v>2014</v>
      </c>
      <c r="B192" s="8" t="s">
        <v>21</v>
      </c>
      <c r="C192" s="8" t="s">
        <v>24</v>
      </c>
      <c r="D192" s="8" t="s">
        <v>30</v>
      </c>
      <c r="E192" s="8" t="s">
        <v>27</v>
      </c>
      <c r="F192" s="12">
        <f t="shared" si="7"/>
        <v>867</v>
      </c>
      <c r="G192" s="8">
        <v>578</v>
      </c>
      <c r="H192" s="14" t="s">
        <v>229</v>
      </c>
    </row>
    <row r="193" spans="1:8" x14ac:dyDescent="0.25">
      <c r="A193" s="8">
        <v>2014</v>
      </c>
      <c r="B193" s="8" t="s">
        <v>21</v>
      </c>
      <c r="C193" s="8" t="s">
        <v>33</v>
      </c>
      <c r="D193" s="8" t="s">
        <v>30</v>
      </c>
      <c r="E193" s="8" t="s">
        <v>27</v>
      </c>
      <c r="F193" s="12">
        <f t="shared" si="7"/>
        <v>14619</v>
      </c>
      <c r="G193" s="8">
        <v>9746</v>
      </c>
      <c r="H193" s="14" t="s">
        <v>230</v>
      </c>
    </row>
    <row r="194" spans="1:8" x14ac:dyDescent="0.25">
      <c r="A194" s="8">
        <v>2014</v>
      </c>
      <c r="B194" s="8" t="s">
        <v>21</v>
      </c>
      <c r="C194" s="8" t="s">
        <v>24</v>
      </c>
      <c r="D194" s="8" t="s">
        <v>30</v>
      </c>
      <c r="E194" s="8" t="s">
        <v>27</v>
      </c>
      <c r="F194" s="12">
        <f t="shared" si="7"/>
        <v>867</v>
      </c>
      <c r="G194" s="8">
        <v>578</v>
      </c>
      <c r="H194" s="14" t="s">
        <v>231</v>
      </c>
    </row>
    <row r="195" spans="1:8" x14ac:dyDescent="0.25">
      <c r="A195" s="8">
        <v>2014</v>
      </c>
      <c r="B195" s="8" t="s">
        <v>21</v>
      </c>
      <c r="C195" s="8" t="s">
        <v>33</v>
      </c>
      <c r="D195" s="13" t="s">
        <v>38</v>
      </c>
      <c r="E195" s="8" t="s">
        <v>35</v>
      </c>
      <c r="F195" s="12">
        <v>14619</v>
      </c>
      <c r="G195" s="8">
        <v>9746</v>
      </c>
      <c r="H195" s="14" t="s">
        <v>232</v>
      </c>
    </row>
    <row r="196" spans="1:8" x14ac:dyDescent="0.25">
      <c r="A196" s="8">
        <v>2014</v>
      </c>
      <c r="B196" s="8" t="s">
        <v>21</v>
      </c>
      <c r="C196" s="8" t="s">
        <v>24</v>
      </c>
      <c r="D196" s="13" t="s">
        <v>38</v>
      </c>
      <c r="E196" s="8" t="s">
        <v>35</v>
      </c>
      <c r="F196" s="12">
        <v>5380.5</v>
      </c>
      <c r="G196" s="8">
        <v>3587</v>
      </c>
      <c r="H196" s="14" t="s">
        <v>233</v>
      </c>
    </row>
    <row r="197" spans="1:8" x14ac:dyDescent="0.25">
      <c r="A197" s="8">
        <v>2014</v>
      </c>
      <c r="B197" s="8" t="s">
        <v>21</v>
      </c>
      <c r="C197" s="8" t="s">
        <v>33</v>
      </c>
      <c r="D197" s="13" t="s">
        <v>38</v>
      </c>
      <c r="E197" s="8" t="s">
        <v>35</v>
      </c>
      <c r="F197" s="12">
        <v>14619</v>
      </c>
      <c r="G197" s="8">
        <v>9746</v>
      </c>
      <c r="H197" s="14" t="s">
        <v>234</v>
      </c>
    </row>
    <row r="198" spans="1:8" x14ac:dyDescent="0.25">
      <c r="A198" s="8">
        <v>2014</v>
      </c>
      <c r="B198" s="8" t="s">
        <v>21</v>
      </c>
      <c r="C198" s="8" t="s">
        <v>24</v>
      </c>
      <c r="D198" s="13" t="s">
        <v>38</v>
      </c>
      <c r="E198" s="8" t="s">
        <v>35</v>
      </c>
      <c r="F198" s="12">
        <v>5380.5</v>
      </c>
      <c r="G198" s="8">
        <v>3587</v>
      </c>
      <c r="H198" s="14" t="s">
        <v>235</v>
      </c>
    </row>
    <row r="199" spans="1:8" x14ac:dyDescent="0.25">
      <c r="A199" s="8">
        <v>2014</v>
      </c>
      <c r="B199" s="8" t="s">
        <v>21</v>
      </c>
      <c r="C199" s="8" t="s">
        <v>33</v>
      </c>
      <c r="D199" s="13" t="s">
        <v>39</v>
      </c>
      <c r="E199" s="13" t="s">
        <v>26</v>
      </c>
      <c r="F199" s="12">
        <v>3547.5</v>
      </c>
      <c r="G199" s="8">
        <v>2365</v>
      </c>
      <c r="H199" s="14" t="s">
        <v>236</v>
      </c>
    </row>
    <row r="200" spans="1:8" x14ac:dyDescent="0.25">
      <c r="A200" s="8">
        <v>2014</v>
      </c>
      <c r="B200" s="8" t="s">
        <v>21</v>
      </c>
      <c r="C200" s="8" t="s">
        <v>31</v>
      </c>
      <c r="D200" s="13" t="s">
        <v>39</v>
      </c>
      <c r="E200" s="13" t="s">
        <v>26</v>
      </c>
      <c r="F200" s="12">
        <v>14596.5</v>
      </c>
      <c r="G200" s="8">
        <v>9731</v>
      </c>
      <c r="H200" s="14" t="s">
        <v>237</v>
      </c>
    </row>
    <row r="201" spans="1:8" x14ac:dyDescent="0.25">
      <c r="A201" s="8">
        <v>2014</v>
      </c>
      <c r="B201" s="8" t="s">
        <v>21</v>
      </c>
      <c r="C201" s="8" t="s">
        <v>33</v>
      </c>
      <c r="D201" s="13" t="s">
        <v>39</v>
      </c>
      <c r="E201" s="13" t="s">
        <v>26</v>
      </c>
      <c r="F201" s="12">
        <v>3547.5</v>
      </c>
      <c r="G201" s="8">
        <v>2365</v>
      </c>
      <c r="H201" s="14" t="s">
        <v>238</v>
      </c>
    </row>
    <row r="202" spans="1:8" x14ac:dyDescent="0.25">
      <c r="A202" s="8">
        <v>2014</v>
      </c>
      <c r="B202" s="8" t="s">
        <v>21</v>
      </c>
      <c r="C202" s="8" t="s">
        <v>31</v>
      </c>
      <c r="D202" s="13" t="s">
        <v>39</v>
      </c>
      <c r="E202" s="13" t="s">
        <v>26</v>
      </c>
      <c r="F202" s="12">
        <v>14596.5</v>
      </c>
      <c r="G202" s="8">
        <v>9731</v>
      </c>
      <c r="H202" s="14" t="s">
        <v>239</v>
      </c>
    </row>
    <row r="203" spans="1:8" x14ac:dyDescent="0.25">
      <c r="A203" s="8">
        <v>2014</v>
      </c>
      <c r="B203" s="8" t="s">
        <v>21</v>
      </c>
      <c r="C203" s="8" t="s">
        <v>31</v>
      </c>
      <c r="D203" s="8" t="s">
        <v>32</v>
      </c>
      <c r="E203" s="13" t="s">
        <v>28</v>
      </c>
      <c r="F203" s="12">
        <f t="shared" ref="F203:F214" si="8">G203*1.5</f>
        <v>1498.5</v>
      </c>
      <c r="G203" s="8">
        <v>999</v>
      </c>
      <c r="H203" s="14" t="s">
        <v>240</v>
      </c>
    </row>
    <row r="204" spans="1:8" x14ac:dyDescent="0.25">
      <c r="A204" s="8">
        <v>2014</v>
      </c>
      <c r="B204" s="8" t="s">
        <v>21</v>
      </c>
      <c r="C204" s="8" t="s">
        <v>33</v>
      </c>
      <c r="D204" s="8" t="s">
        <v>32</v>
      </c>
      <c r="E204" s="13" t="s">
        <v>28</v>
      </c>
      <c r="F204" s="12">
        <f t="shared" si="8"/>
        <v>235.5</v>
      </c>
      <c r="G204" s="8">
        <v>157</v>
      </c>
      <c r="H204" s="14" t="s">
        <v>241</v>
      </c>
    </row>
    <row r="205" spans="1:8" x14ac:dyDescent="0.25">
      <c r="A205" s="8">
        <v>2014</v>
      </c>
      <c r="B205" s="8" t="s">
        <v>21</v>
      </c>
      <c r="C205" s="8" t="s">
        <v>31</v>
      </c>
      <c r="D205" s="8" t="s">
        <v>32</v>
      </c>
      <c r="E205" s="13" t="s">
        <v>28</v>
      </c>
      <c r="F205" s="12">
        <f t="shared" si="8"/>
        <v>1498.5</v>
      </c>
      <c r="G205" s="8">
        <v>999</v>
      </c>
      <c r="H205" s="14" t="s">
        <v>242</v>
      </c>
    </row>
    <row r="206" spans="1:8" x14ac:dyDescent="0.25">
      <c r="A206" s="8">
        <v>2014</v>
      </c>
      <c r="B206" s="8" t="s">
        <v>21</v>
      </c>
      <c r="C206" s="8" t="s">
        <v>33</v>
      </c>
      <c r="D206" s="8" t="s">
        <v>32</v>
      </c>
      <c r="E206" s="13" t="s">
        <v>28</v>
      </c>
      <c r="F206" s="12">
        <f t="shared" si="8"/>
        <v>235.5</v>
      </c>
      <c r="G206" s="8">
        <v>157</v>
      </c>
      <c r="H206" s="14" t="s">
        <v>243</v>
      </c>
    </row>
    <row r="207" spans="1:8" x14ac:dyDescent="0.25">
      <c r="A207" s="8">
        <v>2014</v>
      </c>
      <c r="B207" s="8" t="s">
        <v>21</v>
      </c>
      <c r="C207" s="8" t="s">
        <v>24</v>
      </c>
      <c r="D207" s="8" t="s">
        <v>34</v>
      </c>
      <c r="E207" s="8" t="s">
        <v>35</v>
      </c>
      <c r="F207" s="12">
        <f t="shared" si="8"/>
        <v>5380.5</v>
      </c>
      <c r="G207" s="8">
        <v>3587</v>
      </c>
      <c r="H207" s="14" t="s">
        <v>244</v>
      </c>
    </row>
    <row r="208" spans="1:8" x14ac:dyDescent="0.25">
      <c r="A208" s="8">
        <v>2014</v>
      </c>
      <c r="B208" s="8" t="s">
        <v>21</v>
      </c>
      <c r="C208" s="8" t="s">
        <v>36</v>
      </c>
      <c r="D208" s="8" t="s">
        <v>34</v>
      </c>
      <c r="E208" s="8" t="s">
        <v>35</v>
      </c>
      <c r="F208" s="12">
        <f t="shared" si="8"/>
        <v>14446.5</v>
      </c>
      <c r="G208" s="8">
        <v>9631</v>
      </c>
      <c r="H208" s="14" t="s">
        <v>245</v>
      </c>
    </row>
    <row r="209" spans="1:8" x14ac:dyDescent="0.25">
      <c r="A209" s="8">
        <v>2014</v>
      </c>
      <c r="B209" s="8" t="s">
        <v>21</v>
      </c>
      <c r="C209" s="8" t="s">
        <v>24</v>
      </c>
      <c r="D209" s="8" t="s">
        <v>34</v>
      </c>
      <c r="E209" s="8" t="s">
        <v>35</v>
      </c>
      <c r="F209" s="12">
        <f t="shared" si="8"/>
        <v>5380.5</v>
      </c>
      <c r="G209" s="8">
        <v>3587</v>
      </c>
      <c r="H209" s="14" t="s">
        <v>246</v>
      </c>
    </row>
    <row r="210" spans="1:8" x14ac:dyDescent="0.25">
      <c r="A210" s="8">
        <v>2014</v>
      </c>
      <c r="B210" s="8" t="s">
        <v>21</v>
      </c>
      <c r="C210" s="8" t="s">
        <v>36</v>
      </c>
      <c r="D210" s="8" t="s">
        <v>34</v>
      </c>
      <c r="E210" s="8" t="s">
        <v>35</v>
      </c>
      <c r="F210" s="12">
        <f t="shared" si="8"/>
        <v>14446.5</v>
      </c>
      <c r="G210" s="8">
        <v>9631</v>
      </c>
      <c r="H210" s="14" t="s">
        <v>247</v>
      </c>
    </row>
    <row r="211" spans="1:8" x14ac:dyDescent="0.25">
      <c r="A211" s="8">
        <v>2014</v>
      </c>
      <c r="B211" s="8" t="s">
        <v>18</v>
      </c>
      <c r="C211" s="8" t="s">
        <v>36</v>
      </c>
      <c r="D211" s="8" t="s">
        <v>30</v>
      </c>
      <c r="E211" s="8" t="s">
        <v>27</v>
      </c>
      <c r="F211" s="12">
        <f t="shared" si="8"/>
        <v>2367</v>
      </c>
      <c r="G211" s="8">
        <v>1578</v>
      </c>
      <c r="H211" s="14" t="s">
        <v>248</v>
      </c>
    </row>
    <row r="212" spans="1:8" x14ac:dyDescent="0.25">
      <c r="A212" s="8">
        <v>2014</v>
      </c>
      <c r="B212" s="8" t="s">
        <v>18</v>
      </c>
      <c r="C212" s="8" t="s">
        <v>33</v>
      </c>
      <c r="D212" s="8" t="s">
        <v>30</v>
      </c>
      <c r="E212" s="8" t="s">
        <v>27</v>
      </c>
      <c r="F212" s="12">
        <f t="shared" si="8"/>
        <v>6880.5</v>
      </c>
      <c r="G212" s="8">
        <v>4587</v>
      </c>
      <c r="H212" s="14" t="s">
        <v>249</v>
      </c>
    </row>
    <row r="213" spans="1:8" x14ac:dyDescent="0.25">
      <c r="A213" s="8">
        <v>2014</v>
      </c>
      <c r="B213" s="8" t="s">
        <v>18</v>
      </c>
      <c r="C213" s="8" t="s">
        <v>36</v>
      </c>
      <c r="D213" s="8" t="s">
        <v>30</v>
      </c>
      <c r="E213" s="8" t="s">
        <v>27</v>
      </c>
      <c r="F213" s="12">
        <f t="shared" si="8"/>
        <v>2367</v>
      </c>
      <c r="G213" s="8">
        <v>1578</v>
      </c>
      <c r="H213" s="14" t="s">
        <v>250</v>
      </c>
    </row>
    <row r="214" spans="1:8" x14ac:dyDescent="0.25">
      <c r="A214" s="8">
        <v>2014</v>
      </c>
      <c r="B214" s="8" t="s">
        <v>18</v>
      </c>
      <c r="C214" s="8" t="s">
        <v>33</v>
      </c>
      <c r="D214" s="8" t="s">
        <v>30</v>
      </c>
      <c r="E214" s="8" t="s">
        <v>27</v>
      </c>
      <c r="F214" s="12">
        <f t="shared" si="8"/>
        <v>6880.5</v>
      </c>
      <c r="G214" s="8">
        <v>4587</v>
      </c>
      <c r="H214" s="14" t="s">
        <v>251</v>
      </c>
    </row>
    <row r="215" spans="1:8" x14ac:dyDescent="0.25">
      <c r="A215" s="8">
        <v>2014</v>
      </c>
      <c r="B215" s="8" t="s">
        <v>18</v>
      </c>
      <c r="C215" s="8" t="s">
        <v>24</v>
      </c>
      <c r="D215" s="13" t="s">
        <v>38</v>
      </c>
      <c r="E215" s="8" t="s">
        <v>35</v>
      </c>
      <c r="F215" s="12">
        <v>11838</v>
      </c>
      <c r="G215" s="8">
        <v>7892</v>
      </c>
      <c r="H215" s="14" t="s">
        <v>252</v>
      </c>
    </row>
    <row r="216" spans="1:8" x14ac:dyDescent="0.25">
      <c r="A216" s="8">
        <v>2014</v>
      </c>
      <c r="B216" s="8" t="s">
        <v>18</v>
      </c>
      <c r="C216" s="8" t="s">
        <v>36</v>
      </c>
      <c r="D216" s="13" t="s">
        <v>38</v>
      </c>
      <c r="E216" s="8" t="s">
        <v>35</v>
      </c>
      <c r="F216" s="12">
        <v>2367</v>
      </c>
      <c r="G216" s="8">
        <v>1578</v>
      </c>
      <c r="H216" s="14" t="s">
        <v>253</v>
      </c>
    </row>
    <row r="217" spans="1:8" x14ac:dyDescent="0.25">
      <c r="A217" s="8">
        <v>2014</v>
      </c>
      <c r="B217" s="8" t="s">
        <v>18</v>
      </c>
      <c r="C217" s="8" t="s">
        <v>24</v>
      </c>
      <c r="D217" s="13" t="s">
        <v>38</v>
      </c>
      <c r="E217" s="8" t="s">
        <v>35</v>
      </c>
      <c r="F217" s="12">
        <v>7030.5</v>
      </c>
      <c r="G217" s="8">
        <v>4687</v>
      </c>
      <c r="H217" s="14" t="s">
        <v>254</v>
      </c>
    </row>
    <row r="218" spans="1:8" x14ac:dyDescent="0.25">
      <c r="A218" s="8">
        <v>2014</v>
      </c>
      <c r="B218" s="8" t="s">
        <v>18</v>
      </c>
      <c r="C218" s="8" t="s">
        <v>31</v>
      </c>
      <c r="D218" s="13" t="s">
        <v>38</v>
      </c>
      <c r="E218" s="8" t="s">
        <v>35</v>
      </c>
      <c r="F218" s="12">
        <v>2046</v>
      </c>
      <c r="G218" s="8">
        <v>1364</v>
      </c>
      <c r="H218" s="14" t="s">
        <v>255</v>
      </c>
    </row>
    <row r="219" spans="1:8" x14ac:dyDescent="0.25">
      <c r="A219" s="8">
        <v>2014</v>
      </c>
      <c r="B219" s="8" t="s">
        <v>18</v>
      </c>
      <c r="C219" s="8" t="s">
        <v>24</v>
      </c>
      <c r="D219" s="13" t="s">
        <v>38</v>
      </c>
      <c r="E219" s="8" t="s">
        <v>35</v>
      </c>
      <c r="F219" s="12">
        <v>11838</v>
      </c>
      <c r="G219" s="8">
        <v>7892</v>
      </c>
      <c r="H219" s="14" t="s">
        <v>256</v>
      </c>
    </row>
    <row r="220" spans="1:8" x14ac:dyDescent="0.25">
      <c r="A220" s="8">
        <v>2014</v>
      </c>
      <c r="B220" s="8" t="s">
        <v>18</v>
      </c>
      <c r="C220" s="8" t="s">
        <v>36</v>
      </c>
      <c r="D220" s="13" t="s">
        <v>38</v>
      </c>
      <c r="E220" s="8" t="s">
        <v>35</v>
      </c>
      <c r="F220" s="12">
        <v>2367</v>
      </c>
      <c r="G220" s="8">
        <v>1578</v>
      </c>
      <c r="H220" s="14" t="s">
        <v>257</v>
      </c>
    </row>
    <row r="221" spans="1:8" x14ac:dyDescent="0.25">
      <c r="A221" s="8">
        <v>2014</v>
      </c>
      <c r="B221" s="8" t="s">
        <v>18</v>
      </c>
      <c r="C221" s="8" t="s">
        <v>24</v>
      </c>
      <c r="D221" s="13" t="s">
        <v>38</v>
      </c>
      <c r="E221" s="8" t="s">
        <v>35</v>
      </c>
      <c r="F221" s="12">
        <v>7030.5</v>
      </c>
      <c r="G221" s="8">
        <v>4687</v>
      </c>
      <c r="H221" s="14" t="s">
        <v>258</v>
      </c>
    </row>
    <row r="222" spans="1:8" x14ac:dyDescent="0.25">
      <c r="A222" s="8">
        <v>2014</v>
      </c>
      <c r="B222" s="8" t="s">
        <v>18</v>
      </c>
      <c r="C222" s="8" t="s">
        <v>31</v>
      </c>
      <c r="D222" s="13" t="s">
        <v>38</v>
      </c>
      <c r="E222" s="8" t="s">
        <v>35</v>
      </c>
      <c r="F222" s="12">
        <v>2046</v>
      </c>
      <c r="G222" s="8">
        <v>1364</v>
      </c>
      <c r="H222" s="14" t="s">
        <v>259</v>
      </c>
    </row>
    <row r="223" spans="1:8" x14ac:dyDescent="0.25">
      <c r="A223" s="8">
        <v>2014</v>
      </c>
      <c r="B223" s="8" t="s">
        <v>18</v>
      </c>
      <c r="C223" s="8" t="s">
        <v>33</v>
      </c>
      <c r="D223" s="13" t="s">
        <v>39</v>
      </c>
      <c r="E223" s="13" t="s">
        <v>26</v>
      </c>
      <c r="F223" s="12">
        <v>8793</v>
      </c>
      <c r="G223" s="8">
        <v>5862</v>
      </c>
      <c r="H223" s="14" t="s">
        <v>260</v>
      </c>
    </row>
    <row r="224" spans="1:8" x14ac:dyDescent="0.25">
      <c r="A224" s="8">
        <v>2014</v>
      </c>
      <c r="B224" s="8" t="s">
        <v>18</v>
      </c>
      <c r="C224" s="8" t="s">
        <v>33</v>
      </c>
      <c r="D224" s="13" t="s">
        <v>39</v>
      </c>
      <c r="E224" s="13" t="s">
        <v>26</v>
      </c>
      <c r="F224" s="12">
        <v>11122.5</v>
      </c>
      <c r="G224" s="8">
        <v>7415</v>
      </c>
      <c r="H224" s="14" t="s">
        <v>261</v>
      </c>
    </row>
    <row r="225" spans="1:8" x14ac:dyDescent="0.25">
      <c r="A225" s="8">
        <v>2014</v>
      </c>
      <c r="B225" s="8" t="s">
        <v>18</v>
      </c>
      <c r="C225" s="8" t="s">
        <v>24</v>
      </c>
      <c r="D225" s="13" t="s">
        <v>39</v>
      </c>
      <c r="E225" s="13" t="s">
        <v>26</v>
      </c>
      <c r="F225" s="12">
        <v>13428</v>
      </c>
      <c r="G225" s="8">
        <v>8952</v>
      </c>
      <c r="H225" s="14" t="s">
        <v>262</v>
      </c>
    </row>
    <row r="226" spans="1:8" x14ac:dyDescent="0.25">
      <c r="A226" s="8">
        <v>2014</v>
      </c>
      <c r="B226" s="8" t="s">
        <v>18</v>
      </c>
      <c r="C226" s="8" t="s">
        <v>33</v>
      </c>
      <c r="D226" s="13" t="s">
        <v>39</v>
      </c>
      <c r="E226" s="13" t="s">
        <v>26</v>
      </c>
      <c r="F226" s="12">
        <v>14619</v>
      </c>
      <c r="G226" s="8">
        <v>9746</v>
      </c>
      <c r="H226" s="14" t="s">
        <v>263</v>
      </c>
    </row>
    <row r="227" spans="1:8" x14ac:dyDescent="0.25">
      <c r="A227" s="8">
        <v>2014</v>
      </c>
      <c r="B227" s="8" t="s">
        <v>18</v>
      </c>
      <c r="C227" s="8" t="s">
        <v>36</v>
      </c>
      <c r="D227" s="13" t="s">
        <v>39</v>
      </c>
      <c r="E227" s="13" t="s">
        <v>26</v>
      </c>
      <c r="F227" s="12">
        <v>2367</v>
      </c>
      <c r="G227" s="8">
        <v>1578</v>
      </c>
      <c r="H227" s="14" t="s">
        <v>264</v>
      </c>
    </row>
    <row r="228" spans="1:8" x14ac:dyDescent="0.25">
      <c r="A228" s="8">
        <v>2014</v>
      </c>
      <c r="B228" s="8" t="s">
        <v>18</v>
      </c>
      <c r="C228" s="8" t="s">
        <v>33</v>
      </c>
      <c r="D228" s="13" t="s">
        <v>39</v>
      </c>
      <c r="E228" s="13" t="s">
        <v>26</v>
      </c>
      <c r="F228" s="12">
        <v>8793</v>
      </c>
      <c r="G228" s="8">
        <v>5862</v>
      </c>
      <c r="H228" s="14" t="s">
        <v>265</v>
      </c>
    </row>
    <row r="229" spans="1:8" x14ac:dyDescent="0.25">
      <c r="A229" s="8">
        <v>2014</v>
      </c>
      <c r="B229" s="8" t="s">
        <v>18</v>
      </c>
      <c r="C229" s="8" t="s">
        <v>33</v>
      </c>
      <c r="D229" s="13" t="s">
        <v>39</v>
      </c>
      <c r="E229" s="13" t="s">
        <v>26</v>
      </c>
      <c r="F229" s="12">
        <v>11122.5</v>
      </c>
      <c r="G229" s="8">
        <v>7415</v>
      </c>
      <c r="H229" s="14" t="s">
        <v>266</v>
      </c>
    </row>
    <row r="230" spans="1:8" x14ac:dyDescent="0.25">
      <c r="A230" s="8">
        <v>2014</v>
      </c>
      <c r="B230" s="8" t="s">
        <v>18</v>
      </c>
      <c r="C230" s="8" t="s">
        <v>24</v>
      </c>
      <c r="D230" s="13" t="s">
        <v>39</v>
      </c>
      <c r="E230" s="13" t="s">
        <v>26</v>
      </c>
      <c r="F230" s="12">
        <v>13428</v>
      </c>
      <c r="G230" s="8">
        <v>8952</v>
      </c>
      <c r="H230" s="14" t="s">
        <v>267</v>
      </c>
    </row>
    <row r="231" spans="1:8" x14ac:dyDescent="0.25">
      <c r="A231" s="8">
        <v>2014</v>
      </c>
      <c r="B231" s="8" t="s">
        <v>18</v>
      </c>
      <c r="C231" s="8" t="s">
        <v>33</v>
      </c>
      <c r="D231" s="13" t="s">
        <v>39</v>
      </c>
      <c r="E231" s="13" t="s">
        <v>26</v>
      </c>
      <c r="F231" s="12">
        <v>14619</v>
      </c>
      <c r="G231" s="8">
        <v>9746</v>
      </c>
      <c r="H231" s="14" t="s">
        <v>268</v>
      </c>
    </row>
    <row r="232" spans="1:8" x14ac:dyDescent="0.25">
      <c r="A232" s="8">
        <v>2014</v>
      </c>
      <c r="B232" s="8" t="s">
        <v>18</v>
      </c>
      <c r="C232" s="8" t="s">
        <v>36</v>
      </c>
      <c r="D232" s="13" t="s">
        <v>39</v>
      </c>
      <c r="E232" s="13" t="s">
        <v>26</v>
      </c>
      <c r="F232" s="12">
        <v>2367</v>
      </c>
      <c r="G232" s="8">
        <v>1578</v>
      </c>
      <c r="H232" s="14" t="s">
        <v>269</v>
      </c>
    </row>
    <row r="233" spans="1:8" x14ac:dyDescent="0.25">
      <c r="A233" s="8">
        <v>2014</v>
      </c>
      <c r="B233" s="8" t="s">
        <v>18</v>
      </c>
      <c r="C233" s="8" t="s">
        <v>24</v>
      </c>
      <c r="D233" s="8" t="s">
        <v>32</v>
      </c>
      <c r="E233" s="13" t="s">
        <v>28</v>
      </c>
      <c r="F233" s="12">
        <f t="shared" ref="F233:F244" si="9">G233*1.5</f>
        <v>11838</v>
      </c>
      <c r="G233" s="8">
        <v>7892</v>
      </c>
      <c r="H233" s="14" t="s">
        <v>270</v>
      </c>
    </row>
    <row r="234" spans="1:8" x14ac:dyDescent="0.25">
      <c r="A234" s="8">
        <v>2014</v>
      </c>
      <c r="B234" s="8" t="s">
        <v>18</v>
      </c>
      <c r="C234" s="8" t="s">
        <v>24</v>
      </c>
      <c r="D234" s="8" t="s">
        <v>32</v>
      </c>
      <c r="E234" s="13" t="s">
        <v>28</v>
      </c>
      <c r="F234" s="12">
        <f t="shared" si="9"/>
        <v>11979</v>
      </c>
      <c r="G234" s="8">
        <v>7986</v>
      </c>
      <c r="H234" s="14" t="s">
        <v>271</v>
      </c>
    </row>
    <row r="235" spans="1:8" x14ac:dyDescent="0.25">
      <c r="A235" s="8">
        <v>2014</v>
      </c>
      <c r="B235" s="8" t="s">
        <v>18</v>
      </c>
      <c r="C235" s="8" t="s">
        <v>24</v>
      </c>
      <c r="D235" s="8" t="s">
        <v>32</v>
      </c>
      <c r="E235" s="13" t="s">
        <v>28</v>
      </c>
      <c r="F235" s="12">
        <f t="shared" si="9"/>
        <v>11838</v>
      </c>
      <c r="G235" s="8">
        <v>7892</v>
      </c>
      <c r="H235" s="14" t="s">
        <v>272</v>
      </c>
    </row>
    <row r="236" spans="1:8" x14ac:dyDescent="0.25">
      <c r="A236" s="8">
        <v>2014</v>
      </c>
      <c r="B236" s="8" t="s">
        <v>18</v>
      </c>
      <c r="C236" s="8" t="s">
        <v>24</v>
      </c>
      <c r="D236" s="8" t="s">
        <v>32</v>
      </c>
      <c r="E236" s="13" t="s">
        <v>28</v>
      </c>
      <c r="F236" s="12">
        <f t="shared" si="9"/>
        <v>11979</v>
      </c>
      <c r="G236" s="8">
        <v>7986</v>
      </c>
      <c r="H236" s="14" t="s">
        <v>273</v>
      </c>
    </row>
    <row r="237" spans="1:8" x14ac:dyDescent="0.25">
      <c r="A237" s="8">
        <v>2014</v>
      </c>
      <c r="B237" s="8" t="s">
        <v>18</v>
      </c>
      <c r="C237" s="8" t="s">
        <v>24</v>
      </c>
      <c r="D237" s="8" t="s">
        <v>34</v>
      </c>
      <c r="E237" s="8" t="s">
        <v>35</v>
      </c>
      <c r="F237" s="12">
        <f t="shared" si="9"/>
        <v>7030.5</v>
      </c>
      <c r="G237" s="8">
        <v>4687</v>
      </c>
      <c r="H237" s="14" t="s">
        <v>274</v>
      </c>
    </row>
    <row r="238" spans="1:8" x14ac:dyDescent="0.25">
      <c r="A238" s="8">
        <v>2014</v>
      </c>
      <c r="B238" s="8" t="s">
        <v>18</v>
      </c>
      <c r="C238" s="8" t="s">
        <v>31</v>
      </c>
      <c r="D238" s="8" t="s">
        <v>34</v>
      </c>
      <c r="E238" s="8" t="s">
        <v>35</v>
      </c>
      <c r="F238" s="12">
        <f t="shared" si="9"/>
        <v>2046</v>
      </c>
      <c r="G238" s="8">
        <v>1364</v>
      </c>
      <c r="H238" s="14" t="s">
        <v>275</v>
      </c>
    </row>
    <row r="239" spans="1:8" x14ac:dyDescent="0.25">
      <c r="A239" s="8">
        <v>2014</v>
      </c>
      <c r="B239" s="8" t="s">
        <v>18</v>
      </c>
      <c r="C239" s="8" t="s">
        <v>24</v>
      </c>
      <c r="D239" s="8" t="s">
        <v>34</v>
      </c>
      <c r="E239" s="8" t="s">
        <v>35</v>
      </c>
      <c r="F239" s="12">
        <f t="shared" si="9"/>
        <v>7030.5</v>
      </c>
      <c r="G239" s="8">
        <v>4687</v>
      </c>
      <c r="H239" s="14" t="s">
        <v>276</v>
      </c>
    </row>
    <row r="240" spans="1:8" x14ac:dyDescent="0.25">
      <c r="A240" s="8">
        <v>2014</v>
      </c>
      <c r="B240" s="8" t="s">
        <v>18</v>
      </c>
      <c r="C240" s="8" t="s">
        <v>31</v>
      </c>
      <c r="D240" s="8" t="s">
        <v>34</v>
      </c>
      <c r="E240" s="8" t="s">
        <v>35</v>
      </c>
      <c r="F240" s="12">
        <f t="shared" si="9"/>
        <v>2046</v>
      </c>
      <c r="G240" s="8">
        <v>1364</v>
      </c>
      <c r="H240" s="14" t="s">
        <v>277</v>
      </c>
    </row>
    <row r="241" spans="1:8" x14ac:dyDescent="0.25">
      <c r="A241" s="8">
        <v>2014</v>
      </c>
      <c r="B241" s="8" t="s">
        <v>22</v>
      </c>
      <c r="C241" s="8" t="s">
        <v>31</v>
      </c>
      <c r="D241" s="8" t="s">
        <v>30</v>
      </c>
      <c r="E241" s="8" t="s">
        <v>27</v>
      </c>
      <c r="F241" s="12">
        <f t="shared" si="9"/>
        <v>747</v>
      </c>
      <c r="G241" s="8">
        <v>498</v>
      </c>
      <c r="H241" s="14" t="s">
        <v>278</v>
      </c>
    </row>
    <row r="242" spans="1:8" x14ac:dyDescent="0.25">
      <c r="A242" s="8">
        <v>2014</v>
      </c>
      <c r="B242" s="8" t="s">
        <v>22</v>
      </c>
      <c r="C242" s="8" t="s">
        <v>36</v>
      </c>
      <c r="D242" s="8" t="s">
        <v>30</v>
      </c>
      <c r="E242" s="8" t="s">
        <v>27</v>
      </c>
      <c r="F242" s="12">
        <f t="shared" si="9"/>
        <v>7342.5</v>
      </c>
      <c r="G242" s="8">
        <v>4895</v>
      </c>
      <c r="H242" s="14" t="s">
        <v>279</v>
      </c>
    </row>
    <row r="243" spans="1:8" x14ac:dyDescent="0.25">
      <c r="A243" s="8">
        <v>2014</v>
      </c>
      <c r="B243" s="8" t="s">
        <v>22</v>
      </c>
      <c r="C243" s="8" t="s">
        <v>31</v>
      </c>
      <c r="D243" s="8" t="s">
        <v>30</v>
      </c>
      <c r="E243" s="8" t="s">
        <v>27</v>
      </c>
      <c r="F243" s="12">
        <f t="shared" si="9"/>
        <v>747</v>
      </c>
      <c r="G243" s="8">
        <v>498</v>
      </c>
      <c r="H243" s="14" t="s">
        <v>280</v>
      </c>
    </row>
    <row r="244" spans="1:8" x14ac:dyDescent="0.25">
      <c r="A244" s="8">
        <v>2014</v>
      </c>
      <c r="B244" s="8" t="s">
        <v>22</v>
      </c>
      <c r="C244" s="8" t="s">
        <v>36</v>
      </c>
      <c r="D244" s="8" t="s">
        <v>30</v>
      </c>
      <c r="E244" s="8" t="s">
        <v>27</v>
      </c>
      <c r="F244" s="12">
        <f t="shared" si="9"/>
        <v>7342.5</v>
      </c>
      <c r="G244" s="8">
        <v>4895</v>
      </c>
      <c r="H244" s="14" t="s">
        <v>281</v>
      </c>
    </row>
    <row r="245" spans="1:8" x14ac:dyDescent="0.25">
      <c r="A245" s="8">
        <v>2014</v>
      </c>
      <c r="B245" s="8" t="s">
        <v>22</v>
      </c>
      <c r="C245" s="8" t="s">
        <v>36</v>
      </c>
      <c r="D245" s="13" t="s">
        <v>38</v>
      </c>
      <c r="E245" s="8" t="s">
        <v>35</v>
      </c>
      <c r="F245" s="12">
        <v>7344</v>
      </c>
      <c r="G245" s="8">
        <v>4896</v>
      </c>
      <c r="H245" s="14" t="s">
        <v>282</v>
      </c>
    </row>
    <row r="246" spans="1:8" x14ac:dyDescent="0.25">
      <c r="A246" s="8">
        <v>2014</v>
      </c>
      <c r="B246" s="8" t="s">
        <v>22</v>
      </c>
      <c r="C246" s="8" t="s">
        <v>24</v>
      </c>
      <c r="D246" s="13" t="s">
        <v>38</v>
      </c>
      <c r="E246" s="8" t="s">
        <v>35</v>
      </c>
      <c r="F246" s="12">
        <v>6880.5</v>
      </c>
      <c r="G246" s="8">
        <v>4587</v>
      </c>
      <c r="H246" s="14" t="s">
        <v>283</v>
      </c>
    </row>
    <row r="247" spans="1:8" x14ac:dyDescent="0.25">
      <c r="A247" s="8">
        <v>2014</v>
      </c>
      <c r="B247" s="8" t="s">
        <v>22</v>
      </c>
      <c r="C247" s="8" t="s">
        <v>36</v>
      </c>
      <c r="D247" s="13" t="s">
        <v>38</v>
      </c>
      <c r="E247" s="8" t="s">
        <v>35</v>
      </c>
      <c r="F247" s="12">
        <v>7344</v>
      </c>
      <c r="G247" s="8">
        <v>4896</v>
      </c>
      <c r="H247" s="14" t="s">
        <v>284</v>
      </c>
    </row>
    <row r="248" spans="1:8" x14ac:dyDescent="0.25">
      <c r="A248" s="8">
        <v>2014</v>
      </c>
      <c r="B248" s="8" t="s">
        <v>22</v>
      </c>
      <c r="C248" s="8" t="s">
        <v>24</v>
      </c>
      <c r="D248" s="13" t="s">
        <v>38</v>
      </c>
      <c r="E248" s="8" t="s">
        <v>35</v>
      </c>
      <c r="F248" s="12">
        <v>6880.5</v>
      </c>
      <c r="G248" s="8">
        <v>4587</v>
      </c>
      <c r="H248" s="14" t="s">
        <v>285</v>
      </c>
    </row>
    <row r="249" spans="1:8" x14ac:dyDescent="0.25">
      <c r="A249" s="8">
        <v>2014</v>
      </c>
      <c r="B249" s="8" t="s">
        <v>22</v>
      </c>
      <c r="C249" s="8" t="s">
        <v>24</v>
      </c>
      <c r="D249" s="13" t="s">
        <v>39</v>
      </c>
      <c r="E249" s="13" t="s">
        <v>26</v>
      </c>
      <c r="F249" s="12">
        <v>5380.5</v>
      </c>
      <c r="G249" s="8">
        <v>3587</v>
      </c>
      <c r="H249" s="14" t="s">
        <v>286</v>
      </c>
    </row>
    <row r="250" spans="1:8" x14ac:dyDescent="0.25">
      <c r="A250" s="8">
        <v>2014</v>
      </c>
      <c r="B250" s="8" t="s">
        <v>22</v>
      </c>
      <c r="C250" s="8" t="s">
        <v>24</v>
      </c>
      <c r="D250" s="13" t="s">
        <v>39</v>
      </c>
      <c r="E250" s="13" t="s">
        <v>26</v>
      </c>
      <c r="F250" s="12">
        <v>11838</v>
      </c>
      <c r="G250" s="8">
        <v>7892</v>
      </c>
      <c r="H250" s="14" t="s">
        <v>287</v>
      </c>
    </row>
    <row r="251" spans="1:8" x14ac:dyDescent="0.25">
      <c r="A251" s="8">
        <v>2014</v>
      </c>
      <c r="B251" s="8" t="s">
        <v>22</v>
      </c>
      <c r="C251" s="8" t="s">
        <v>24</v>
      </c>
      <c r="D251" s="13" t="s">
        <v>39</v>
      </c>
      <c r="E251" s="13" t="s">
        <v>26</v>
      </c>
      <c r="F251" s="12">
        <v>5380.5</v>
      </c>
      <c r="G251" s="8">
        <v>3587</v>
      </c>
      <c r="H251" s="14" t="s">
        <v>288</v>
      </c>
    </row>
    <row r="252" spans="1:8" x14ac:dyDescent="0.25">
      <c r="A252" s="8">
        <v>2014</v>
      </c>
      <c r="B252" s="8" t="s">
        <v>22</v>
      </c>
      <c r="C252" s="8" t="s">
        <v>24</v>
      </c>
      <c r="D252" s="13" t="s">
        <v>39</v>
      </c>
      <c r="E252" s="13" t="s">
        <v>26</v>
      </c>
      <c r="F252" s="12">
        <v>11838</v>
      </c>
      <c r="G252" s="8">
        <v>7892</v>
      </c>
      <c r="H252" s="14" t="s">
        <v>289</v>
      </c>
    </row>
    <row r="253" spans="1:8" x14ac:dyDescent="0.25">
      <c r="A253" s="8">
        <v>2014</v>
      </c>
      <c r="B253" s="8" t="s">
        <v>22</v>
      </c>
      <c r="C253" s="8" t="s">
        <v>36</v>
      </c>
      <c r="D253" s="8" t="s">
        <v>32</v>
      </c>
      <c r="E253" s="13" t="s">
        <v>28</v>
      </c>
      <c r="F253" s="12">
        <f t="shared" ref="F253:F262" si="10">G253*1.5</f>
        <v>7344</v>
      </c>
      <c r="G253" s="8">
        <v>4896</v>
      </c>
      <c r="H253" s="14" t="s">
        <v>290</v>
      </c>
    </row>
    <row r="254" spans="1:8" x14ac:dyDescent="0.25">
      <c r="A254" s="8">
        <v>2014</v>
      </c>
      <c r="B254" s="8" t="s">
        <v>22</v>
      </c>
      <c r="C254" s="8" t="s">
        <v>24</v>
      </c>
      <c r="D254" s="8" t="s">
        <v>32</v>
      </c>
      <c r="E254" s="13" t="s">
        <v>28</v>
      </c>
      <c r="F254" s="12">
        <f t="shared" si="10"/>
        <v>6880.5</v>
      </c>
      <c r="G254" s="8">
        <v>4587</v>
      </c>
      <c r="H254" s="14" t="s">
        <v>291</v>
      </c>
    </row>
    <row r="255" spans="1:8" x14ac:dyDescent="0.25">
      <c r="A255" s="8">
        <v>2014</v>
      </c>
      <c r="B255" s="8" t="s">
        <v>22</v>
      </c>
      <c r="C255" s="8" t="s">
        <v>24</v>
      </c>
      <c r="D255" s="8" t="s">
        <v>32</v>
      </c>
      <c r="E255" s="13" t="s">
        <v>28</v>
      </c>
      <c r="F255" s="12">
        <f t="shared" si="10"/>
        <v>7318.5</v>
      </c>
      <c r="G255" s="8">
        <v>4879</v>
      </c>
      <c r="H255" s="14" t="s">
        <v>292</v>
      </c>
    </row>
    <row r="256" spans="1:8" x14ac:dyDescent="0.25">
      <c r="A256" s="8">
        <v>2014</v>
      </c>
      <c r="B256" s="8" t="s">
        <v>22</v>
      </c>
      <c r="C256" s="8" t="s">
        <v>36</v>
      </c>
      <c r="D256" s="8" t="s">
        <v>32</v>
      </c>
      <c r="E256" s="13" t="s">
        <v>28</v>
      </c>
      <c r="F256" s="12">
        <f t="shared" si="10"/>
        <v>7344</v>
      </c>
      <c r="G256" s="8">
        <v>4896</v>
      </c>
      <c r="H256" s="14" t="s">
        <v>293</v>
      </c>
    </row>
    <row r="257" spans="1:8" x14ac:dyDescent="0.25">
      <c r="A257" s="8">
        <v>2014</v>
      </c>
      <c r="B257" s="8" t="s">
        <v>22</v>
      </c>
      <c r="C257" s="8" t="s">
        <v>24</v>
      </c>
      <c r="D257" s="8" t="s">
        <v>32</v>
      </c>
      <c r="E257" s="13" t="s">
        <v>28</v>
      </c>
      <c r="F257" s="12">
        <f t="shared" si="10"/>
        <v>6880.5</v>
      </c>
      <c r="G257" s="8">
        <v>4587</v>
      </c>
      <c r="H257" s="14" t="s">
        <v>294</v>
      </c>
    </row>
    <row r="258" spans="1:8" x14ac:dyDescent="0.25">
      <c r="A258" s="8">
        <v>2014</v>
      </c>
      <c r="B258" s="8" t="s">
        <v>22</v>
      </c>
      <c r="C258" s="8" t="s">
        <v>24</v>
      </c>
      <c r="D258" s="8" t="s">
        <v>32</v>
      </c>
      <c r="E258" s="13" t="s">
        <v>28</v>
      </c>
      <c r="F258" s="12">
        <f t="shared" si="10"/>
        <v>7318.5</v>
      </c>
      <c r="G258" s="8">
        <v>4879</v>
      </c>
      <c r="H258" s="14" t="s">
        <v>295</v>
      </c>
    </row>
    <row r="259" spans="1:8" x14ac:dyDescent="0.25">
      <c r="A259" s="8">
        <v>2014</v>
      </c>
      <c r="B259" s="8" t="s">
        <v>22</v>
      </c>
      <c r="C259" s="8" t="s">
        <v>33</v>
      </c>
      <c r="D259" s="8" t="s">
        <v>34</v>
      </c>
      <c r="E259" s="8" t="s">
        <v>35</v>
      </c>
      <c r="F259" s="12">
        <f t="shared" si="10"/>
        <v>6880.5</v>
      </c>
      <c r="G259" s="8">
        <v>4587</v>
      </c>
      <c r="H259" s="14" t="s">
        <v>296</v>
      </c>
    </row>
    <row r="260" spans="1:8" x14ac:dyDescent="0.25">
      <c r="A260" s="8">
        <v>2014</v>
      </c>
      <c r="B260" s="8" t="s">
        <v>22</v>
      </c>
      <c r="C260" s="8" t="s">
        <v>24</v>
      </c>
      <c r="D260" s="8" t="s">
        <v>34</v>
      </c>
      <c r="E260" s="8" t="s">
        <v>35</v>
      </c>
      <c r="F260" s="12">
        <f t="shared" si="10"/>
        <v>9486</v>
      </c>
      <c r="G260" s="8">
        <v>6324</v>
      </c>
      <c r="H260" s="14" t="s">
        <v>297</v>
      </c>
    </row>
    <row r="261" spans="1:8" x14ac:dyDescent="0.25">
      <c r="A261" s="8">
        <v>2014</v>
      </c>
      <c r="B261" s="8" t="s">
        <v>22</v>
      </c>
      <c r="C261" s="8" t="s">
        <v>33</v>
      </c>
      <c r="D261" s="8" t="s">
        <v>34</v>
      </c>
      <c r="E261" s="8" t="s">
        <v>35</v>
      </c>
      <c r="F261" s="12">
        <f t="shared" si="10"/>
        <v>6880.5</v>
      </c>
      <c r="G261" s="8">
        <v>4587</v>
      </c>
      <c r="H261" s="14" t="s">
        <v>298</v>
      </c>
    </row>
    <row r="262" spans="1:8" x14ac:dyDescent="0.25">
      <c r="A262" s="8">
        <v>2014</v>
      </c>
      <c r="B262" s="8" t="s">
        <v>22</v>
      </c>
      <c r="C262" s="8" t="s">
        <v>24</v>
      </c>
      <c r="D262" s="8" t="s">
        <v>34</v>
      </c>
      <c r="E262" s="8" t="s">
        <v>35</v>
      </c>
      <c r="F262" s="12">
        <f t="shared" si="10"/>
        <v>9486</v>
      </c>
      <c r="G262" s="8">
        <v>6324</v>
      </c>
      <c r="H262" s="14" t="s">
        <v>299</v>
      </c>
    </row>
    <row r="263" spans="1:8" x14ac:dyDescent="0.25">
      <c r="A263" s="8">
        <v>2014</v>
      </c>
      <c r="B263" s="8" t="s">
        <v>23</v>
      </c>
      <c r="C263" s="8" t="s">
        <v>24</v>
      </c>
      <c r="D263" s="8" t="s">
        <v>30</v>
      </c>
      <c r="E263" s="8" t="s">
        <v>27</v>
      </c>
      <c r="F263" s="12">
        <v>4666</v>
      </c>
      <c r="G263" s="8">
        <v>5623</v>
      </c>
      <c r="H263" s="14" t="s">
        <v>300</v>
      </c>
    </row>
    <row r="264" spans="1:8" x14ac:dyDescent="0.25">
      <c r="A264" s="8">
        <v>2014</v>
      </c>
      <c r="B264" s="8" t="s">
        <v>23</v>
      </c>
      <c r="C264" s="8" t="s">
        <v>24</v>
      </c>
      <c r="D264" s="8" t="s">
        <v>30</v>
      </c>
      <c r="E264" s="8" t="s">
        <v>27</v>
      </c>
      <c r="F264" s="12">
        <f>G264*1.5</f>
        <v>10992</v>
      </c>
      <c r="G264" s="8">
        <v>7328</v>
      </c>
      <c r="H264" s="14" t="s">
        <v>301</v>
      </c>
    </row>
    <row r="265" spans="1:8" x14ac:dyDescent="0.25">
      <c r="A265" s="8">
        <v>2014</v>
      </c>
      <c r="B265" s="8" t="s">
        <v>23</v>
      </c>
      <c r="C265" s="8" t="s">
        <v>24</v>
      </c>
      <c r="D265" s="8" t="s">
        <v>30</v>
      </c>
      <c r="E265" s="8" t="s">
        <v>27</v>
      </c>
      <c r="F265" s="12">
        <v>4666</v>
      </c>
      <c r="G265" s="8">
        <v>5623</v>
      </c>
      <c r="H265" s="14" t="s">
        <v>302</v>
      </c>
    </row>
    <row r="266" spans="1:8" x14ac:dyDescent="0.25">
      <c r="A266" s="8">
        <v>2014</v>
      </c>
      <c r="B266" s="8" t="s">
        <v>23</v>
      </c>
      <c r="C266" s="8" t="s">
        <v>24</v>
      </c>
      <c r="D266" s="8" t="s">
        <v>30</v>
      </c>
      <c r="E266" s="8" t="s">
        <v>27</v>
      </c>
      <c r="F266" s="12">
        <f>G266*1.5</f>
        <v>10992</v>
      </c>
      <c r="G266" s="8">
        <v>7328</v>
      </c>
      <c r="H266" s="14" t="s">
        <v>303</v>
      </c>
    </row>
    <row r="267" spans="1:8" x14ac:dyDescent="0.25">
      <c r="A267" s="8">
        <v>2014</v>
      </c>
      <c r="B267" s="8" t="s">
        <v>23</v>
      </c>
      <c r="C267" s="8" t="s">
        <v>24</v>
      </c>
      <c r="D267" s="13" t="s">
        <v>38</v>
      </c>
      <c r="E267" s="8" t="s">
        <v>35</v>
      </c>
      <c r="F267" s="12">
        <v>4666</v>
      </c>
      <c r="G267" s="8">
        <v>5623</v>
      </c>
      <c r="H267" s="14" t="s">
        <v>304</v>
      </c>
    </row>
    <row r="268" spans="1:8" x14ac:dyDescent="0.25">
      <c r="A268" s="8">
        <v>2014</v>
      </c>
      <c r="B268" s="8" t="s">
        <v>23</v>
      </c>
      <c r="C268" s="8" t="s">
        <v>31</v>
      </c>
      <c r="D268" s="13" t="s">
        <v>38</v>
      </c>
      <c r="E268" s="8" t="s">
        <v>35</v>
      </c>
      <c r="F268" s="12">
        <v>3897</v>
      </c>
      <c r="G268" s="8">
        <v>2598</v>
      </c>
      <c r="H268" s="14" t="s">
        <v>305</v>
      </c>
    </row>
    <row r="269" spans="1:8" x14ac:dyDescent="0.25">
      <c r="A269" s="8">
        <v>2014</v>
      </c>
      <c r="B269" s="8" t="s">
        <v>23</v>
      </c>
      <c r="C269" s="8" t="s">
        <v>24</v>
      </c>
      <c r="D269" s="13" t="s">
        <v>38</v>
      </c>
      <c r="E269" s="8" t="s">
        <v>35</v>
      </c>
      <c r="F269" s="12">
        <v>4666</v>
      </c>
      <c r="G269" s="8">
        <v>5623</v>
      </c>
      <c r="H269" s="14" t="s">
        <v>306</v>
      </c>
    </row>
    <row r="270" spans="1:8" x14ac:dyDescent="0.25">
      <c r="A270" s="8">
        <v>2014</v>
      </c>
      <c r="B270" s="8" t="s">
        <v>23</v>
      </c>
      <c r="C270" s="8" t="s">
        <v>31</v>
      </c>
      <c r="D270" s="13" t="s">
        <v>38</v>
      </c>
      <c r="E270" s="8" t="s">
        <v>35</v>
      </c>
      <c r="F270" s="12">
        <v>3897</v>
      </c>
      <c r="G270" s="8">
        <v>2598</v>
      </c>
      <c r="H270" s="14" t="s">
        <v>307</v>
      </c>
    </row>
    <row r="271" spans="1:8" x14ac:dyDescent="0.25">
      <c r="A271" s="8">
        <v>2014</v>
      </c>
      <c r="B271" s="8" t="s">
        <v>23</v>
      </c>
      <c r="C271" s="8" t="s">
        <v>31</v>
      </c>
      <c r="D271" s="13" t="s">
        <v>39</v>
      </c>
      <c r="E271" s="13" t="s">
        <v>26</v>
      </c>
      <c r="F271" s="12">
        <f t="shared" ref="F271:F288" si="11">G271*1.5</f>
        <v>747</v>
      </c>
      <c r="G271" s="8">
        <v>498</v>
      </c>
      <c r="H271" s="14" t="s">
        <v>308</v>
      </c>
    </row>
    <row r="272" spans="1:8" x14ac:dyDescent="0.25">
      <c r="A272" s="8">
        <v>2014</v>
      </c>
      <c r="B272" s="8" t="s">
        <v>23</v>
      </c>
      <c r="C272" s="8" t="s">
        <v>33</v>
      </c>
      <c r="D272" s="13" t="s">
        <v>39</v>
      </c>
      <c r="E272" s="13" t="s">
        <v>26</v>
      </c>
      <c r="F272" s="12">
        <f t="shared" si="11"/>
        <v>6880.5</v>
      </c>
      <c r="G272" s="8">
        <v>4587</v>
      </c>
      <c r="H272" s="14" t="s">
        <v>309</v>
      </c>
    </row>
    <row r="273" spans="1:8" x14ac:dyDescent="0.25">
      <c r="A273" s="8">
        <v>2014</v>
      </c>
      <c r="B273" s="8" t="s">
        <v>23</v>
      </c>
      <c r="C273" s="8" t="s">
        <v>31</v>
      </c>
      <c r="D273" s="13" t="s">
        <v>39</v>
      </c>
      <c r="E273" s="13" t="s">
        <v>26</v>
      </c>
      <c r="F273" s="12">
        <f t="shared" si="11"/>
        <v>747</v>
      </c>
      <c r="G273" s="8">
        <v>498</v>
      </c>
      <c r="H273" s="14" t="s">
        <v>310</v>
      </c>
    </row>
    <row r="274" spans="1:8" x14ac:dyDescent="0.25">
      <c r="A274" s="8">
        <v>2014</v>
      </c>
      <c r="B274" s="8" t="s">
        <v>23</v>
      </c>
      <c r="C274" s="8" t="s">
        <v>33</v>
      </c>
      <c r="D274" s="13" t="s">
        <v>39</v>
      </c>
      <c r="E274" s="13" t="s">
        <v>26</v>
      </c>
      <c r="F274" s="12">
        <f t="shared" si="11"/>
        <v>6880.5</v>
      </c>
      <c r="G274" s="8">
        <v>4587</v>
      </c>
      <c r="H274" s="14" t="s">
        <v>311</v>
      </c>
    </row>
    <row r="275" spans="1:8" x14ac:dyDescent="0.25">
      <c r="A275" s="8">
        <v>2014</v>
      </c>
      <c r="B275" s="8" t="s">
        <v>23</v>
      </c>
      <c r="C275" s="8" t="s">
        <v>31</v>
      </c>
      <c r="D275" s="8" t="s">
        <v>32</v>
      </c>
      <c r="E275" s="13" t="s">
        <v>28</v>
      </c>
      <c r="F275" s="12">
        <f t="shared" si="11"/>
        <v>3897</v>
      </c>
      <c r="G275" s="8">
        <v>2598</v>
      </c>
      <c r="H275" s="14" t="s">
        <v>312</v>
      </c>
    </row>
    <row r="276" spans="1:8" x14ac:dyDescent="0.25">
      <c r="A276" s="8">
        <v>2014</v>
      </c>
      <c r="B276" s="8" t="s">
        <v>23</v>
      </c>
      <c r="C276" s="8" t="s">
        <v>36</v>
      </c>
      <c r="D276" s="8" t="s">
        <v>32</v>
      </c>
      <c r="E276" s="13" t="s">
        <v>28</v>
      </c>
      <c r="F276" s="12">
        <f t="shared" si="11"/>
        <v>3084</v>
      </c>
      <c r="G276" s="8">
        <v>2056</v>
      </c>
      <c r="H276" s="14" t="s">
        <v>313</v>
      </c>
    </row>
    <row r="277" spans="1:8" x14ac:dyDescent="0.25">
      <c r="A277" s="8">
        <v>2014</v>
      </c>
      <c r="B277" s="8" t="s">
        <v>23</v>
      </c>
      <c r="C277" s="8" t="s">
        <v>31</v>
      </c>
      <c r="D277" s="8" t="s">
        <v>32</v>
      </c>
      <c r="E277" s="13" t="s">
        <v>28</v>
      </c>
      <c r="F277" s="12">
        <f t="shared" si="11"/>
        <v>3897</v>
      </c>
      <c r="G277" s="8">
        <v>2598</v>
      </c>
      <c r="H277" s="14" t="s">
        <v>314</v>
      </c>
    </row>
    <row r="278" spans="1:8" x14ac:dyDescent="0.25">
      <c r="A278" s="8">
        <v>2014</v>
      </c>
      <c r="B278" s="8" t="s">
        <v>23</v>
      </c>
      <c r="C278" s="8" t="s">
        <v>36</v>
      </c>
      <c r="D278" s="8" t="s">
        <v>32</v>
      </c>
      <c r="E278" s="13" t="s">
        <v>28</v>
      </c>
      <c r="F278" s="12">
        <f t="shared" si="11"/>
        <v>3084</v>
      </c>
      <c r="G278" s="8">
        <v>2056</v>
      </c>
      <c r="H278" s="14" t="s">
        <v>315</v>
      </c>
    </row>
    <row r="279" spans="1:8" x14ac:dyDescent="0.25">
      <c r="A279" s="8">
        <v>2014</v>
      </c>
      <c r="B279" s="8" t="s">
        <v>23</v>
      </c>
      <c r="C279" s="8" t="s">
        <v>33</v>
      </c>
      <c r="D279" s="8" t="s">
        <v>34</v>
      </c>
      <c r="E279" s="8" t="s">
        <v>35</v>
      </c>
      <c r="F279" s="12">
        <f t="shared" si="11"/>
        <v>12370.5</v>
      </c>
      <c r="G279" s="8">
        <v>8247</v>
      </c>
      <c r="H279" s="14" t="s">
        <v>316</v>
      </c>
    </row>
    <row r="280" spans="1:8" x14ac:dyDescent="0.25">
      <c r="A280" s="8">
        <v>2014</v>
      </c>
      <c r="B280" s="8" t="s">
        <v>23</v>
      </c>
      <c r="C280" s="8" t="s">
        <v>24</v>
      </c>
      <c r="D280" s="8" t="s">
        <v>34</v>
      </c>
      <c r="E280" s="8" t="s">
        <v>35</v>
      </c>
      <c r="F280" s="12">
        <f t="shared" si="11"/>
        <v>13231.5</v>
      </c>
      <c r="G280" s="8">
        <v>8821</v>
      </c>
      <c r="H280" s="14" t="s">
        <v>317</v>
      </c>
    </row>
    <row r="281" spans="1:8" x14ac:dyDescent="0.25">
      <c r="A281" s="8">
        <v>2014</v>
      </c>
      <c r="B281" s="8" t="s">
        <v>23</v>
      </c>
      <c r="C281" s="8" t="s">
        <v>33</v>
      </c>
      <c r="D281" s="8" t="s">
        <v>34</v>
      </c>
      <c r="E281" s="8" t="s">
        <v>35</v>
      </c>
      <c r="F281" s="12">
        <f t="shared" si="11"/>
        <v>12370.5</v>
      </c>
      <c r="G281" s="8">
        <v>8247</v>
      </c>
      <c r="H281" s="14" t="s">
        <v>318</v>
      </c>
    </row>
    <row r="282" spans="1:8" x14ac:dyDescent="0.25">
      <c r="A282" s="8">
        <v>2014</v>
      </c>
      <c r="B282" s="8" t="s">
        <v>23</v>
      </c>
      <c r="C282" s="8" t="s">
        <v>24</v>
      </c>
      <c r="D282" s="8" t="s">
        <v>34</v>
      </c>
      <c r="E282" s="8" t="s">
        <v>35</v>
      </c>
      <c r="F282" s="12">
        <f t="shared" si="11"/>
        <v>13231.5</v>
      </c>
      <c r="G282" s="8">
        <v>8821</v>
      </c>
      <c r="H282" s="14" t="s">
        <v>319</v>
      </c>
    </row>
    <row r="283" spans="1:8" x14ac:dyDescent="0.25">
      <c r="A283" s="8">
        <v>2014</v>
      </c>
      <c r="B283" s="8" t="s">
        <v>37</v>
      </c>
      <c r="C283" s="8" t="s">
        <v>31</v>
      </c>
      <c r="D283" s="8" t="s">
        <v>30</v>
      </c>
      <c r="E283" s="8" t="s">
        <v>27</v>
      </c>
      <c r="F283" s="12">
        <f t="shared" si="11"/>
        <v>8832</v>
      </c>
      <c r="G283" s="8">
        <v>5888</v>
      </c>
      <c r="H283" s="14" t="s">
        <v>320</v>
      </c>
    </row>
    <row r="284" spans="1:8" x14ac:dyDescent="0.25">
      <c r="A284" s="8">
        <v>2014</v>
      </c>
      <c r="B284" s="8" t="s">
        <v>37</v>
      </c>
      <c r="C284" s="8" t="s">
        <v>24</v>
      </c>
      <c r="D284" s="8" t="s">
        <v>30</v>
      </c>
      <c r="E284" s="8" t="s">
        <v>27</v>
      </c>
      <c r="F284" s="12">
        <f t="shared" si="11"/>
        <v>13413</v>
      </c>
      <c r="G284" s="8">
        <v>8942</v>
      </c>
      <c r="H284" s="14" t="s">
        <v>321</v>
      </c>
    </row>
    <row r="285" spans="1:8" x14ac:dyDescent="0.25">
      <c r="A285" s="8">
        <v>2014</v>
      </c>
      <c r="B285" s="8" t="s">
        <v>37</v>
      </c>
      <c r="C285" s="8" t="s">
        <v>36</v>
      </c>
      <c r="D285" s="8" t="s">
        <v>30</v>
      </c>
      <c r="E285" s="8" t="s">
        <v>27</v>
      </c>
      <c r="F285" s="12">
        <f t="shared" si="11"/>
        <v>4026</v>
      </c>
      <c r="G285" s="8">
        <v>2684</v>
      </c>
      <c r="H285" s="14" t="s">
        <v>322</v>
      </c>
    </row>
    <row r="286" spans="1:8" x14ac:dyDescent="0.25">
      <c r="A286" s="8">
        <v>2014</v>
      </c>
      <c r="B286" s="8" t="s">
        <v>37</v>
      </c>
      <c r="C286" s="8" t="s">
        <v>31</v>
      </c>
      <c r="D286" s="8" t="s">
        <v>30</v>
      </c>
      <c r="E286" s="8" t="s">
        <v>27</v>
      </c>
      <c r="F286" s="12">
        <f t="shared" si="11"/>
        <v>8832</v>
      </c>
      <c r="G286" s="8">
        <v>5888</v>
      </c>
      <c r="H286" s="14" t="s">
        <v>323</v>
      </c>
    </row>
    <row r="287" spans="1:8" x14ac:dyDescent="0.25">
      <c r="A287" s="8">
        <v>2014</v>
      </c>
      <c r="B287" s="8" t="s">
        <v>37</v>
      </c>
      <c r="C287" s="8" t="s">
        <v>24</v>
      </c>
      <c r="D287" s="8" t="s">
        <v>30</v>
      </c>
      <c r="E287" s="8" t="s">
        <v>27</v>
      </c>
      <c r="F287" s="12">
        <f t="shared" si="11"/>
        <v>13413</v>
      </c>
      <c r="G287" s="8">
        <v>8942</v>
      </c>
      <c r="H287" s="14" t="s">
        <v>324</v>
      </c>
    </row>
    <row r="288" spans="1:8" x14ac:dyDescent="0.25">
      <c r="A288" s="8">
        <v>2014</v>
      </c>
      <c r="B288" s="8" t="s">
        <v>37</v>
      </c>
      <c r="C288" s="8" t="s">
        <v>36</v>
      </c>
      <c r="D288" s="8" t="s">
        <v>30</v>
      </c>
      <c r="E288" s="8" t="s">
        <v>27</v>
      </c>
      <c r="F288" s="12">
        <f t="shared" si="11"/>
        <v>4026</v>
      </c>
      <c r="G288" s="8">
        <v>2684</v>
      </c>
      <c r="H288" s="14" t="s">
        <v>325</v>
      </c>
    </row>
    <row r="289" spans="1:8" x14ac:dyDescent="0.25">
      <c r="A289" s="8">
        <v>2014</v>
      </c>
      <c r="B289" s="8" t="s">
        <v>37</v>
      </c>
      <c r="C289" s="8" t="s">
        <v>31</v>
      </c>
      <c r="D289" s="13" t="s">
        <v>38</v>
      </c>
      <c r="E289" s="8" t="s">
        <v>35</v>
      </c>
      <c r="F289" s="12">
        <v>8832</v>
      </c>
      <c r="G289" s="8">
        <v>5888</v>
      </c>
      <c r="H289" s="14" t="s">
        <v>326</v>
      </c>
    </row>
    <row r="290" spans="1:8" x14ac:dyDescent="0.25">
      <c r="A290" s="8">
        <v>2014</v>
      </c>
      <c r="B290" s="8" t="s">
        <v>37</v>
      </c>
      <c r="C290" s="8" t="s">
        <v>33</v>
      </c>
      <c r="D290" s="13" t="s">
        <v>38</v>
      </c>
      <c r="E290" s="8" t="s">
        <v>35</v>
      </c>
      <c r="F290" s="12">
        <v>3547.5</v>
      </c>
      <c r="G290" s="8">
        <v>2365</v>
      </c>
      <c r="H290" s="14" t="s">
        <v>327</v>
      </c>
    </row>
    <row r="291" spans="1:8" x14ac:dyDescent="0.25">
      <c r="A291" s="8">
        <v>2014</v>
      </c>
      <c r="B291" s="8" t="s">
        <v>37</v>
      </c>
      <c r="C291" s="8" t="s">
        <v>31</v>
      </c>
      <c r="D291" s="13" t="s">
        <v>38</v>
      </c>
      <c r="E291" s="8" t="s">
        <v>35</v>
      </c>
      <c r="F291" s="12">
        <v>8832</v>
      </c>
      <c r="G291" s="8">
        <v>5888</v>
      </c>
      <c r="H291" s="14" t="s">
        <v>328</v>
      </c>
    </row>
    <row r="292" spans="1:8" x14ac:dyDescent="0.25">
      <c r="A292" s="8">
        <v>2014</v>
      </c>
      <c r="B292" s="8" t="s">
        <v>37</v>
      </c>
      <c r="C292" s="8" t="s">
        <v>33</v>
      </c>
      <c r="D292" s="13" t="s">
        <v>38</v>
      </c>
      <c r="E292" s="8" t="s">
        <v>35</v>
      </c>
      <c r="F292" s="12">
        <v>3547.5</v>
      </c>
      <c r="G292" s="8">
        <v>2365</v>
      </c>
      <c r="H292" s="14" t="s">
        <v>329</v>
      </c>
    </row>
    <row r="293" spans="1:8" x14ac:dyDescent="0.25">
      <c r="A293" s="8">
        <v>2014</v>
      </c>
      <c r="B293" s="8" t="s">
        <v>37</v>
      </c>
      <c r="C293" s="8" t="s">
        <v>24</v>
      </c>
      <c r="D293" s="13" t="s">
        <v>39</v>
      </c>
      <c r="E293" s="13" t="s">
        <v>26</v>
      </c>
      <c r="F293" s="12">
        <f t="shared" ref="F293:F306" si="12">G293*1.5</f>
        <v>9486</v>
      </c>
      <c r="G293" s="8">
        <v>6324</v>
      </c>
      <c r="H293" s="14" t="s">
        <v>330</v>
      </c>
    </row>
    <row r="294" spans="1:8" x14ac:dyDescent="0.25">
      <c r="A294" s="8">
        <v>2014</v>
      </c>
      <c r="B294" s="8" t="s">
        <v>37</v>
      </c>
      <c r="C294" s="8" t="s">
        <v>36</v>
      </c>
      <c r="D294" s="13" t="s">
        <v>39</v>
      </c>
      <c r="E294" s="13" t="s">
        <v>26</v>
      </c>
      <c r="F294" s="12">
        <f t="shared" si="12"/>
        <v>7342.5</v>
      </c>
      <c r="G294" s="8">
        <v>4895</v>
      </c>
      <c r="H294" s="14" t="s">
        <v>331</v>
      </c>
    </row>
    <row r="295" spans="1:8" x14ac:dyDescent="0.25">
      <c r="A295" s="8">
        <v>2014</v>
      </c>
      <c r="B295" s="8" t="s">
        <v>37</v>
      </c>
      <c r="C295" s="8" t="s">
        <v>24</v>
      </c>
      <c r="D295" s="13" t="s">
        <v>39</v>
      </c>
      <c r="E295" s="13" t="s">
        <v>26</v>
      </c>
      <c r="F295" s="12">
        <f t="shared" si="12"/>
        <v>9486</v>
      </c>
      <c r="G295" s="8">
        <v>6324</v>
      </c>
      <c r="H295" s="14" t="s">
        <v>332</v>
      </c>
    </row>
    <row r="296" spans="1:8" x14ac:dyDescent="0.25">
      <c r="A296" s="8">
        <v>2014</v>
      </c>
      <c r="B296" s="8" t="s">
        <v>37</v>
      </c>
      <c r="C296" s="8" t="s">
        <v>36</v>
      </c>
      <c r="D296" s="13" t="s">
        <v>39</v>
      </c>
      <c r="E296" s="13" t="s">
        <v>26</v>
      </c>
      <c r="F296" s="12">
        <f t="shared" si="12"/>
        <v>7342.5</v>
      </c>
      <c r="G296" s="8">
        <v>4895</v>
      </c>
      <c r="H296" s="14" t="s">
        <v>333</v>
      </c>
    </row>
    <row r="297" spans="1:8" x14ac:dyDescent="0.25">
      <c r="A297" s="8">
        <v>2014</v>
      </c>
      <c r="B297" s="8" t="s">
        <v>37</v>
      </c>
      <c r="C297" s="8" t="s">
        <v>33</v>
      </c>
      <c r="D297" s="8" t="s">
        <v>32</v>
      </c>
      <c r="E297" s="13" t="s">
        <v>28</v>
      </c>
      <c r="F297" s="12">
        <f t="shared" si="12"/>
        <v>3547.5</v>
      </c>
      <c r="G297" s="8">
        <v>2365</v>
      </c>
      <c r="H297" s="14" t="s">
        <v>334</v>
      </c>
    </row>
    <row r="298" spans="1:8" x14ac:dyDescent="0.25">
      <c r="A298" s="8">
        <v>2014</v>
      </c>
      <c r="B298" s="8" t="s">
        <v>37</v>
      </c>
      <c r="C298" s="8" t="s">
        <v>24</v>
      </c>
      <c r="D298" s="8" t="s">
        <v>32</v>
      </c>
      <c r="E298" s="13" t="s">
        <v>28</v>
      </c>
      <c r="F298" s="12">
        <f t="shared" si="12"/>
        <v>3238.5</v>
      </c>
      <c r="G298" s="8">
        <v>2159</v>
      </c>
      <c r="H298" s="14" t="s">
        <v>335</v>
      </c>
    </row>
    <row r="299" spans="1:8" x14ac:dyDescent="0.25">
      <c r="A299" s="8">
        <v>2014</v>
      </c>
      <c r="B299" s="8" t="s">
        <v>37</v>
      </c>
      <c r="C299" s="8" t="s">
        <v>33</v>
      </c>
      <c r="D299" s="8" t="s">
        <v>32</v>
      </c>
      <c r="E299" s="13" t="s">
        <v>28</v>
      </c>
      <c r="F299" s="12">
        <f t="shared" si="12"/>
        <v>3547.5</v>
      </c>
      <c r="G299" s="8">
        <v>2365</v>
      </c>
      <c r="H299" s="14" t="s">
        <v>336</v>
      </c>
    </row>
    <row r="300" spans="1:8" x14ac:dyDescent="0.25">
      <c r="A300" s="8">
        <v>2014</v>
      </c>
      <c r="B300" s="8" t="s">
        <v>37</v>
      </c>
      <c r="C300" s="8" t="s">
        <v>24</v>
      </c>
      <c r="D300" s="8" t="s">
        <v>32</v>
      </c>
      <c r="E300" s="13" t="s">
        <v>28</v>
      </c>
      <c r="F300" s="12">
        <f t="shared" si="12"/>
        <v>3238.5</v>
      </c>
      <c r="G300" s="8">
        <v>2159</v>
      </c>
      <c r="H300" s="14" t="s">
        <v>337</v>
      </c>
    </row>
    <row r="301" spans="1:8" x14ac:dyDescent="0.25">
      <c r="A301" s="8">
        <v>2015</v>
      </c>
      <c r="B301" s="8" t="s">
        <v>20</v>
      </c>
      <c r="C301" s="8" t="s">
        <v>24</v>
      </c>
      <c r="D301" s="8" t="s">
        <v>30</v>
      </c>
      <c r="E301" s="8" t="s">
        <v>27</v>
      </c>
      <c r="F301" s="12">
        <f t="shared" si="12"/>
        <v>2395.5</v>
      </c>
      <c r="G301" s="8">
        <v>1597</v>
      </c>
      <c r="H301" s="14" t="s">
        <v>338</v>
      </c>
    </row>
    <row r="302" spans="1:8" x14ac:dyDescent="0.25">
      <c r="A302" s="8">
        <v>2015</v>
      </c>
      <c r="B302" s="8" t="s">
        <v>20</v>
      </c>
      <c r="C302" s="8" t="s">
        <v>24</v>
      </c>
      <c r="D302" s="8" t="s">
        <v>30</v>
      </c>
      <c r="E302" s="8" t="s">
        <v>27</v>
      </c>
      <c r="F302" s="12">
        <f t="shared" si="12"/>
        <v>11761.5</v>
      </c>
      <c r="G302" s="8">
        <v>7841</v>
      </c>
      <c r="H302" s="14" t="s">
        <v>339</v>
      </c>
    </row>
    <row r="303" spans="1:8" x14ac:dyDescent="0.25">
      <c r="A303" s="8">
        <v>2015</v>
      </c>
      <c r="B303" s="8" t="s">
        <v>20</v>
      </c>
      <c r="C303" s="8" t="s">
        <v>31</v>
      </c>
      <c r="D303" s="8" t="s">
        <v>30</v>
      </c>
      <c r="E303" s="8" t="s">
        <v>27</v>
      </c>
      <c r="F303" s="12">
        <f t="shared" si="12"/>
        <v>8943</v>
      </c>
      <c r="G303" s="8">
        <v>5962</v>
      </c>
      <c r="H303" s="14" t="s">
        <v>340</v>
      </c>
    </row>
    <row r="304" spans="1:8" x14ac:dyDescent="0.25">
      <c r="A304" s="8">
        <v>2015</v>
      </c>
      <c r="B304" s="8" t="s">
        <v>20</v>
      </c>
      <c r="C304" s="8" t="s">
        <v>24</v>
      </c>
      <c r="D304" s="8" t="s">
        <v>30</v>
      </c>
      <c r="E304" s="8" t="s">
        <v>27</v>
      </c>
      <c r="F304" s="12">
        <f t="shared" si="12"/>
        <v>2395.5</v>
      </c>
      <c r="G304" s="8">
        <v>1597</v>
      </c>
      <c r="H304" s="14" t="s">
        <v>341</v>
      </c>
    </row>
    <row r="305" spans="1:8" x14ac:dyDescent="0.25">
      <c r="A305" s="8">
        <v>2015</v>
      </c>
      <c r="B305" s="8" t="s">
        <v>20</v>
      </c>
      <c r="C305" s="8" t="s">
        <v>24</v>
      </c>
      <c r="D305" s="8" t="s">
        <v>30</v>
      </c>
      <c r="E305" s="8" t="s">
        <v>27</v>
      </c>
      <c r="F305" s="12">
        <f t="shared" si="12"/>
        <v>11761.5</v>
      </c>
      <c r="G305" s="8">
        <v>7841</v>
      </c>
      <c r="H305" s="14" t="s">
        <v>342</v>
      </c>
    </row>
    <row r="306" spans="1:8" x14ac:dyDescent="0.25">
      <c r="A306" s="8">
        <v>2015</v>
      </c>
      <c r="B306" s="8" t="s">
        <v>20</v>
      </c>
      <c r="C306" s="8" t="s">
        <v>31</v>
      </c>
      <c r="D306" s="8" t="s">
        <v>30</v>
      </c>
      <c r="E306" s="8" t="s">
        <v>27</v>
      </c>
      <c r="F306" s="12">
        <f t="shared" si="12"/>
        <v>8943</v>
      </c>
      <c r="G306" s="8">
        <v>5962</v>
      </c>
      <c r="H306" s="14" t="s">
        <v>343</v>
      </c>
    </row>
    <row r="307" spans="1:8" x14ac:dyDescent="0.25">
      <c r="A307" s="8">
        <v>2015</v>
      </c>
      <c r="B307" s="8" t="s">
        <v>20</v>
      </c>
      <c r="C307" s="8" t="s">
        <v>31</v>
      </c>
      <c r="D307" s="13" t="s">
        <v>38</v>
      </c>
      <c r="E307" s="8" t="s">
        <v>35</v>
      </c>
      <c r="F307" s="12">
        <v>14596.5</v>
      </c>
      <c r="G307" s="8">
        <v>9731</v>
      </c>
      <c r="H307" s="14" t="s">
        <v>344</v>
      </c>
    </row>
    <row r="308" spans="1:8" x14ac:dyDescent="0.25">
      <c r="A308" s="8">
        <v>2015</v>
      </c>
      <c r="B308" s="8" t="s">
        <v>20</v>
      </c>
      <c r="C308" s="8" t="s">
        <v>33</v>
      </c>
      <c r="D308" s="13" t="s">
        <v>38</v>
      </c>
      <c r="E308" s="8" t="s">
        <v>35</v>
      </c>
      <c r="F308" s="12">
        <v>8793</v>
      </c>
      <c r="G308" s="8">
        <v>5862</v>
      </c>
      <c r="H308" s="14" t="s">
        <v>345</v>
      </c>
    </row>
    <row r="309" spans="1:8" x14ac:dyDescent="0.25">
      <c r="A309" s="8">
        <v>2015</v>
      </c>
      <c r="B309" s="8" t="s">
        <v>20</v>
      </c>
      <c r="C309" s="8" t="s">
        <v>31</v>
      </c>
      <c r="D309" s="13" t="s">
        <v>38</v>
      </c>
      <c r="E309" s="8" t="s">
        <v>35</v>
      </c>
      <c r="F309" s="12">
        <v>14596.5</v>
      </c>
      <c r="G309" s="8">
        <v>9731</v>
      </c>
      <c r="H309" s="14" t="s">
        <v>346</v>
      </c>
    </row>
    <row r="310" spans="1:8" x14ac:dyDescent="0.25">
      <c r="A310" s="8">
        <v>2015</v>
      </c>
      <c r="B310" s="8" t="s">
        <v>20</v>
      </c>
      <c r="C310" s="8" t="s">
        <v>33</v>
      </c>
      <c r="D310" s="13" t="s">
        <v>38</v>
      </c>
      <c r="E310" s="8" t="s">
        <v>35</v>
      </c>
      <c r="F310" s="12">
        <v>8793</v>
      </c>
      <c r="G310" s="8">
        <v>5862</v>
      </c>
      <c r="H310" s="14" t="s">
        <v>347</v>
      </c>
    </row>
    <row r="311" spans="1:8" x14ac:dyDescent="0.25">
      <c r="A311" s="8">
        <v>2015</v>
      </c>
      <c r="B311" s="8" t="s">
        <v>20</v>
      </c>
      <c r="C311" s="8" t="s">
        <v>24</v>
      </c>
      <c r="D311" s="13" t="s">
        <v>39</v>
      </c>
      <c r="E311" s="13" t="s">
        <v>26</v>
      </c>
      <c r="F311" s="12">
        <v>4666</v>
      </c>
      <c r="G311" s="8">
        <v>5623</v>
      </c>
      <c r="H311" s="14" t="s">
        <v>348</v>
      </c>
    </row>
    <row r="312" spans="1:8" x14ac:dyDescent="0.25">
      <c r="A312" s="8">
        <v>2015</v>
      </c>
      <c r="B312" s="8" t="s">
        <v>20</v>
      </c>
      <c r="C312" s="8" t="s">
        <v>24</v>
      </c>
      <c r="D312" s="13" t="s">
        <v>39</v>
      </c>
      <c r="E312" s="13" t="s">
        <v>26</v>
      </c>
      <c r="F312" s="12">
        <f>G312*1.5</f>
        <v>7318.5</v>
      </c>
      <c r="G312" s="8">
        <v>4879</v>
      </c>
      <c r="H312" s="14" t="s">
        <v>349</v>
      </c>
    </row>
    <row r="313" spans="1:8" x14ac:dyDescent="0.25">
      <c r="A313" s="8">
        <v>2015</v>
      </c>
      <c r="B313" s="8" t="s">
        <v>20</v>
      </c>
      <c r="C313" s="8" t="s">
        <v>24</v>
      </c>
      <c r="D313" s="13" t="s">
        <v>39</v>
      </c>
      <c r="E313" s="13" t="s">
        <v>26</v>
      </c>
      <c r="F313" s="12">
        <v>4666</v>
      </c>
      <c r="G313" s="8">
        <v>5623</v>
      </c>
      <c r="H313" s="14" t="s">
        <v>350</v>
      </c>
    </row>
    <row r="314" spans="1:8" x14ac:dyDescent="0.25">
      <c r="A314" s="8">
        <v>2015</v>
      </c>
      <c r="B314" s="8" t="s">
        <v>20</v>
      </c>
      <c r="C314" s="8" t="s">
        <v>24</v>
      </c>
      <c r="D314" s="13" t="s">
        <v>39</v>
      </c>
      <c r="E314" s="13" t="s">
        <v>26</v>
      </c>
      <c r="F314" s="12">
        <f t="shared" ref="F314:F322" si="13">G314*1.5</f>
        <v>7318.5</v>
      </c>
      <c r="G314" s="8">
        <v>4879</v>
      </c>
      <c r="H314" s="14" t="s">
        <v>351</v>
      </c>
    </row>
    <row r="315" spans="1:8" x14ac:dyDescent="0.25">
      <c r="A315" s="8">
        <v>2015</v>
      </c>
      <c r="B315" s="8" t="s">
        <v>20</v>
      </c>
      <c r="C315" s="8" t="s">
        <v>36</v>
      </c>
      <c r="D315" s="8" t="s">
        <v>32</v>
      </c>
      <c r="E315" s="13" t="s">
        <v>28</v>
      </c>
      <c r="F315" s="12">
        <f t="shared" si="13"/>
        <v>3553.5</v>
      </c>
      <c r="G315" s="8">
        <v>2369</v>
      </c>
      <c r="H315" s="14" t="s">
        <v>352</v>
      </c>
    </row>
    <row r="316" spans="1:8" x14ac:dyDescent="0.25">
      <c r="A316" s="8">
        <v>2015</v>
      </c>
      <c r="B316" s="8" t="s">
        <v>20</v>
      </c>
      <c r="C316" s="8" t="s">
        <v>36</v>
      </c>
      <c r="D316" s="8" t="s">
        <v>32</v>
      </c>
      <c r="E316" s="13" t="s">
        <v>28</v>
      </c>
      <c r="F316" s="12">
        <f t="shared" si="13"/>
        <v>3553.5</v>
      </c>
      <c r="G316" s="8">
        <v>2369</v>
      </c>
      <c r="H316" s="14" t="s">
        <v>353</v>
      </c>
    </row>
    <row r="317" spans="1:8" x14ac:dyDescent="0.25">
      <c r="A317" s="8">
        <v>2015</v>
      </c>
      <c r="B317" s="8" t="s">
        <v>20</v>
      </c>
      <c r="C317" s="8" t="s">
        <v>31</v>
      </c>
      <c r="D317" s="8" t="s">
        <v>34</v>
      </c>
      <c r="E317" s="8" t="s">
        <v>35</v>
      </c>
      <c r="F317" s="12">
        <f t="shared" si="13"/>
        <v>14596.5</v>
      </c>
      <c r="G317" s="8">
        <v>9731</v>
      </c>
      <c r="H317" s="14" t="s">
        <v>354</v>
      </c>
    </row>
    <row r="318" spans="1:8" x14ac:dyDescent="0.25">
      <c r="A318" s="8">
        <v>2015</v>
      </c>
      <c r="B318" s="8" t="s">
        <v>20</v>
      </c>
      <c r="C318" s="8" t="s">
        <v>33</v>
      </c>
      <c r="D318" s="8" t="s">
        <v>34</v>
      </c>
      <c r="E318" s="8" t="s">
        <v>35</v>
      </c>
      <c r="F318" s="12">
        <f t="shared" si="13"/>
        <v>8793</v>
      </c>
      <c r="G318" s="8">
        <v>5862</v>
      </c>
      <c r="H318" s="14" t="s">
        <v>355</v>
      </c>
    </row>
    <row r="319" spans="1:8" x14ac:dyDescent="0.25">
      <c r="A319" s="8">
        <v>2015</v>
      </c>
      <c r="B319" s="8" t="s">
        <v>20</v>
      </c>
      <c r="C319" s="8" t="s">
        <v>31</v>
      </c>
      <c r="D319" s="8" t="s">
        <v>34</v>
      </c>
      <c r="E319" s="8" t="s">
        <v>35</v>
      </c>
      <c r="F319" s="12">
        <f t="shared" si="13"/>
        <v>14596.5</v>
      </c>
      <c r="G319" s="8">
        <v>9731</v>
      </c>
      <c r="H319" s="14" t="s">
        <v>356</v>
      </c>
    </row>
    <row r="320" spans="1:8" x14ac:dyDescent="0.25">
      <c r="A320" s="8">
        <v>2015</v>
      </c>
      <c r="B320" s="8" t="s">
        <v>20</v>
      </c>
      <c r="C320" s="8" t="s">
        <v>33</v>
      </c>
      <c r="D320" s="8" t="s">
        <v>34</v>
      </c>
      <c r="E320" s="8" t="s">
        <v>35</v>
      </c>
      <c r="F320" s="12">
        <f t="shared" si="13"/>
        <v>8793</v>
      </c>
      <c r="G320" s="8">
        <v>5862</v>
      </c>
      <c r="H320" s="14" t="s">
        <v>357</v>
      </c>
    </row>
    <row r="321" spans="1:8" x14ac:dyDescent="0.25">
      <c r="A321" s="8">
        <v>2015</v>
      </c>
      <c r="B321" s="8" t="s">
        <v>19</v>
      </c>
      <c r="C321" s="8" t="s">
        <v>24</v>
      </c>
      <c r="D321" s="8" t="s">
        <v>30</v>
      </c>
      <c r="E321" s="8" t="s">
        <v>27</v>
      </c>
      <c r="F321" s="12">
        <f t="shared" si="13"/>
        <v>4887</v>
      </c>
      <c r="G321" s="8">
        <v>3258</v>
      </c>
      <c r="H321" s="14" t="s">
        <v>358</v>
      </c>
    </row>
    <row r="322" spans="1:8" x14ac:dyDescent="0.25">
      <c r="A322" s="8">
        <v>2015</v>
      </c>
      <c r="B322" s="8" t="s">
        <v>19</v>
      </c>
      <c r="C322" s="8" t="s">
        <v>24</v>
      </c>
      <c r="D322" s="8" t="s">
        <v>30</v>
      </c>
      <c r="E322" s="8" t="s">
        <v>27</v>
      </c>
      <c r="F322" s="12">
        <f t="shared" si="13"/>
        <v>4887</v>
      </c>
      <c r="G322" s="8">
        <v>3258</v>
      </c>
      <c r="H322" s="14" t="s">
        <v>359</v>
      </c>
    </row>
    <row r="323" spans="1:8" x14ac:dyDescent="0.25">
      <c r="A323" s="8">
        <v>2015</v>
      </c>
      <c r="B323" s="8" t="s">
        <v>19</v>
      </c>
      <c r="C323" s="8" t="s">
        <v>33</v>
      </c>
      <c r="D323" s="13" t="s">
        <v>38</v>
      </c>
      <c r="E323" s="8" t="s">
        <v>35</v>
      </c>
      <c r="F323" s="12">
        <v>11122.5</v>
      </c>
      <c r="G323" s="8">
        <v>7415</v>
      </c>
      <c r="H323" s="14" t="s">
        <v>360</v>
      </c>
    </row>
    <row r="324" spans="1:8" x14ac:dyDescent="0.25">
      <c r="A324" s="8">
        <v>2015</v>
      </c>
      <c r="B324" s="8" t="s">
        <v>19</v>
      </c>
      <c r="C324" s="8" t="s">
        <v>24</v>
      </c>
      <c r="D324" s="13" t="s">
        <v>38</v>
      </c>
      <c r="E324" s="8" t="s">
        <v>35</v>
      </c>
      <c r="F324" s="12">
        <v>13428</v>
      </c>
      <c r="G324" s="8">
        <v>8952</v>
      </c>
      <c r="H324" s="14" t="s">
        <v>361</v>
      </c>
    </row>
    <row r="325" spans="1:8" x14ac:dyDescent="0.25">
      <c r="A325" s="8">
        <v>2015</v>
      </c>
      <c r="B325" s="8" t="s">
        <v>19</v>
      </c>
      <c r="C325" s="8" t="s">
        <v>33</v>
      </c>
      <c r="D325" s="13" t="s">
        <v>38</v>
      </c>
      <c r="E325" s="8" t="s">
        <v>35</v>
      </c>
      <c r="F325" s="12">
        <v>11122.5</v>
      </c>
      <c r="G325" s="8">
        <v>7415</v>
      </c>
      <c r="H325" s="14" t="s">
        <v>362</v>
      </c>
    </row>
    <row r="326" spans="1:8" x14ac:dyDescent="0.25">
      <c r="A326" s="8">
        <v>2015</v>
      </c>
      <c r="B326" s="8" t="s">
        <v>19</v>
      </c>
      <c r="C326" s="8" t="s">
        <v>24</v>
      </c>
      <c r="D326" s="13" t="s">
        <v>38</v>
      </c>
      <c r="E326" s="8" t="s">
        <v>35</v>
      </c>
      <c r="F326" s="12">
        <v>13428</v>
      </c>
      <c r="G326" s="8">
        <v>8952</v>
      </c>
      <c r="H326" s="14" t="s">
        <v>363</v>
      </c>
    </row>
    <row r="327" spans="1:8" x14ac:dyDescent="0.25">
      <c r="A327" s="8">
        <v>2015</v>
      </c>
      <c r="B327" s="8" t="s">
        <v>19</v>
      </c>
      <c r="C327" s="8" t="s">
        <v>31</v>
      </c>
      <c r="D327" s="13" t="s">
        <v>39</v>
      </c>
      <c r="E327" s="13" t="s">
        <v>26</v>
      </c>
      <c r="F327" s="12">
        <v>3897</v>
      </c>
      <c r="G327" s="8">
        <v>2598</v>
      </c>
      <c r="H327" s="14" t="s">
        <v>364</v>
      </c>
    </row>
    <row r="328" spans="1:8" x14ac:dyDescent="0.25">
      <c r="A328" s="8">
        <v>2015</v>
      </c>
      <c r="B328" s="8" t="s">
        <v>19</v>
      </c>
      <c r="C328" s="8" t="s">
        <v>31</v>
      </c>
      <c r="D328" s="13" t="s">
        <v>39</v>
      </c>
      <c r="E328" s="13" t="s">
        <v>26</v>
      </c>
      <c r="F328" s="12">
        <v>8832</v>
      </c>
      <c r="G328" s="8">
        <v>5888</v>
      </c>
      <c r="H328" s="14" t="s">
        <v>365</v>
      </c>
    </row>
    <row r="329" spans="1:8" x14ac:dyDescent="0.25">
      <c r="A329" s="8">
        <v>2015</v>
      </c>
      <c r="B329" s="8" t="s">
        <v>19</v>
      </c>
      <c r="C329" s="8" t="s">
        <v>31</v>
      </c>
      <c r="D329" s="13" t="s">
        <v>39</v>
      </c>
      <c r="E329" s="13" t="s">
        <v>26</v>
      </c>
      <c r="F329" s="12">
        <v>3897</v>
      </c>
      <c r="G329" s="8">
        <v>2598</v>
      </c>
      <c r="H329" s="14" t="s">
        <v>366</v>
      </c>
    </row>
    <row r="330" spans="1:8" x14ac:dyDescent="0.25">
      <c r="A330" s="8">
        <v>2015</v>
      </c>
      <c r="B330" s="8" t="s">
        <v>19</v>
      </c>
      <c r="C330" s="8" t="s">
        <v>31</v>
      </c>
      <c r="D330" s="13" t="s">
        <v>39</v>
      </c>
      <c r="E330" s="13" t="s">
        <v>26</v>
      </c>
      <c r="F330" s="12">
        <v>8832</v>
      </c>
      <c r="G330" s="8">
        <v>5888</v>
      </c>
      <c r="H330" s="14" t="s">
        <v>367</v>
      </c>
    </row>
    <row r="331" spans="1:8" x14ac:dyDescent="0.25">
      <c r="A331" s="8">
        <v>2015</v>
      </c>
      <c r="B331" s="8" t="s">
        <v>19</v>
      </c>
      <c r="C331" s="8" t="s">
        <v>33</v>
      </c>
      <c r="D331" s="8" t="s">
        <v>32</v>
      </c>
      <c r="E331" s="13" t="s">
        <v>28</v>
      </c>
      <c r="F331" s="12">
        <f t="shared" ref="F331:F342" si="14">G331*1.5</f>
        <v>11122.5</v>
      </c>
      <c r="G331" s="8">
        <v>7415</v>
      </c>
      <c r="H331" s="14" t="s">
        <v>368</v>
      </c>
    </row>
    <row r="332" spans="1:8" x14ac:dyDescent="0.25">
      <c r="A332" s="8">
        <v>2015</v>
      </c>
      <c r="B332" s="8" t="s">
        <v>19</v>
      </c>
      <c r="C332" s="8" t="s">
        <v>31</v>
      </c>
      <c r="D332" s="8" t="s">
        <v>32</v>
      </c>
      <c r="E332" s="13" t="s">
        <v>28</v>
      </c>
      <c r="F332" s="12">
        <f t="shared" si="14"/>
        <v>14647.5</v>
      </c>
      <c r="G332" s="8">
        <v>9765</v>
      </c>
      <c r="H332" s="14" t="s">
        <v>369</v>
      </c>
    </row>
    <row r="333" spans="1:8" x14ac:dyDescent="0.25">
      <c r="A333" s="8">
        <v>2015</v>
      </c>
      <c r="B333" s="8" t="s">
        <v>19</v>
      </c>
      <c r="C333" s="8" t="s">
        <v>33</v>
      </c>
      <c r="D333" s="8" t="s">
        <v>32</v>
      </c>
      <c r="E333" s="13" t="s">
        <v>28</v>
      </c>
      <c r="F333" s="12">
        <f t="shared" si="14"/>
        <v>11122.5</v>
      </c>
      <c r="G333" s="8">
        <v>7415</v>
      </c>
      <c r="H333" s="14" t="s">
        <v>370</v>
      </c>
    </row>
    <row r="334" spans="1:8" x14ac:dyDescent="0.25">
      <c r="A334" s="8">
        <v>2015</v>
      </c>
      <c r="B334" s="8" t="s">
        <v>19</v>
      </c>
      <c r="C334" s="8" t="s">
        <v>31</v>
      </c>
      <c r="D334" s="8" t="s">
        <v>32</v>
      </c>
      <c r="E334" s="13" t="s">
        <v>28</v>
      </c>
      <c r="F334" s="12">
        <f t="shared" si="14"/>
        <v>14647.5</v>
      </c>
      <c r="G334" s="8">
        <v>9765</v>
      </c>
      <c r="H334" s="14" t="s">
        <v>371</v>
      </c>
    </row>
    <row r="335" spans="1:8" x14ac:dyDescent="0.25">
      <c r="A335" s="8">
        <v>2015</v>
      </c>
      <c r="B335" s="8" t="s">
        <v>19</v>
      </c>
      <c r="C335" s="8" t="s">
        <v>24</v>
      </c>
      <c r="D335" s="8" t="s">
        <v>34</v>
      </c>
      <c r="E335" s="8" t="s">
        <v>35</v>
      </c>
      <c r="F335" s="12">
        <f t="shared" si="14"/>
        <v>13428</v>
      </c>
      <c r="G335" s="8">
        <v>8952</v>
      </c>
      <c r="H335" s="14" t="s">
        <v>372</v>
      </c>
    </row>
    <row r="336" spans="1:8" x14ac:dyDescent="0.25">
      <c r="A336" s="8">
        <v>2015</v>
      </c>
      <c r="B336" s="8" t="s">
        <v>19</v>
      </c>
      <c r="C336" s="8" t="s">
        <v>36</v>
      </c>
      <c r="D336" s="8" t="s">
        <v>34</v>
      </c>
      <c r="E336" s="8" t="s">
        <v>35</v>
      </c>
      <c r="F336" s="12">
        <f t="shared" si="14"/>
        <v>7480.5</v>
      </c>
      <c r="G336" s="8">
        <v>4987</v>
      </c>
      <c r="H336" s="14" t="s">
        <v>373</v>
      </c>
    </row>
    <row r="337" spans="1:8" x14ac:dyDescent="0.25">
      <c r="A337" s="8">
        <v>2015</v>
      </c>
      <c r="B337" s="8" t="s">
        <v>19</v>
      </c>
      <c r="C337" s="8" t="s">
        <v>24</v>
      </c>
      <c r="D337" s="8" t="s">
        <v>34</v>
      </c>
      <c r="E337" s="8" t="s">
        <v>35</v>
      </c>
      <c r="F337" s="12">
        <f t="shared" si="14"/>
        <v>13428</v>
      </c>
      <c r="G337" s="8">
        <v>8952</v>
      </c>
      <c r="H337" s="14" t="s">
        <v>374</v>
      </c>
    </row>
    <row r="338" spans="1:8" x14ac:dyDescent="0.25">
      <c r="A338" s="8">
        <v>2015</v>
      </c>
      <c r="B338" s="8" t="s">
        <v>19</v>
      </c>
      <c r="C338" s="8" t="s">
        <v>36</v>
      </c>
      <c r="D338" s="8" t="s">
        <v>34</v>
      </c>
      <c r="E338" s="8" t="s">
        <v>35</v>
      </c>
      <c r="F338" s="12">
        <f t="shared" si="14"/>
        <v>7480.5</v>
      </c>
      <c r="G338" s="8">
        <v>4987</v>
      </c>
      <c r="H338" s="14" t="s">
        <v>375</v>
      </c>
    </row>
    <row r="339" spans="1:8" x14ac:dyDescent="0.25">
      <c r="A339" s="8">
        <v>2015</v>
      </c>
      <c r="B339" s="8" t="s">
        <v>21</v>
      </c>
      <c r="C339" s="8" t="s">
        <v>33</v>
      </c>
      <c r="D339" s="8" t="s">
        <v>30</v>
      </c>
      <c r="E339" s="8" t="s">
        <v>27</v>
      </c>
      <c r="F339" s="12">
        <f t="shared" si="14"/>
        <v>14619</v>
      </c>
      <c r="G339" s="8">
        <v>9746</v>
      </c>
      <c r="H339" s="14" t="s">
        <v>376</v>
      </c>
    </row>
    <row r="340" spans="1:8" x14ac:dyDescent="0.25">
      <c r="A340" s="8">
        <v>2015</v>
      </c>
      <c r="B340" s="8" t="s">
        <v>21</v>
      </c>
      <c r="C340" s="8" t="s">
        <v>24</v>
      </c>
      <c r="D340" s="8" t="s">
        <v>30</v>
      </c>
      <c r="E340" s="8" t="s">
        <v>27</v>
      </c>
      <c r="F340" s="12">
        <f t="shared" si="14"/>
        <v>867</v>
      </c>
      <c r="G340" s="8">
        <v>578</v>
      </c>
      <c r="H340" s="14" t="s">
        <v>377</v>
      </c>
    </row>
    <row r="341" spans="1:8" x14ac:dyDescent="0.25">
      <c r="A341" s="8">
        <v>2015</v>
      </c>
      <c r="B341" s="8" t="s">
        <v>21</v>
      </c>
      <c r="C341" s="8" t="s">
        <v>33</v>
      </c>
      <c r="D341" s="8" t="s">
        <v>30</v>
      </c>
      <c r="E341" s="8" t="s">
        <v>27</v>
      </c>
      <c r="F341" s="12">
        <f t="shared" si="14"/>
        <v>14619</v>
      </c>
      <c r="G341" s="8">
        <v>9746</v>
      </c>
      <c r="H341" s="14" t="s">
        <v>378</v>
      </c>
    </row>
    <row r="342" spans="1:8" x14ac:dyDescent="0.25">
      <c r="A342" s="8">
        <v>2015</v>
      </c>
      <c r="B342" s="8" t="s">
        <v>21</v>
      </c>
      <c r="C342" s="8" t="s">
        <v>24</v>
      </c>
      <c r="D342" s="8" t="s">
        <v>30</v>
      </c>
      <c r="E342" s="8" t="s">
        <v>27</v>
      </c>
      <c r="F342" s="12">
        <f t="shared" si="14"/>
        <v>867</v>
      </c>
      <c r="G342" s="8">
        <v>578</v>
      </c>
      <c r="H342" s="14" t="s">
        <v>379</v>
      </c>
    </row>
    <row r="343" spans="1:8" x14ac:dyDescent="0.25">
      <c r="A343" s="8">
        <v>2015</v>
      </c>
      <c r="B343" s="8" t="s">
        <v>21</v>
      </c>
      <c r="C343" s="8" t="s">
        <v>33</v>
      </c>
      <c r="D343" s="13" t="s">
        <v>38</v>
      </c>
      <c r="E343" s="8" t="s">
        <v>35</v>
      </c>
      <c r="F343" s="12">
        <v>14619</v>
      </c>
      <c r="G343" s="8">
        <v>9746</v>
      </c>
      <c r="H343" s="14" t="s">
        <v>380</v>
      </c>
    </row>
    <row r="344" spans="1:8" x14ac:dyDescent="0.25">
      <c r="A344" s="8">
        <v>2015</v>
      </c>
      <c r="B344" s="8" t="s">
        <v>21</v>
      </c>
      <c r="C344" s="8" t="s">
        <v>24</v>
      </c>
      <c r="D344" s="13" t="s">
        <v>38</v>
      </c>
      <c r="E344" s="8" t="s">
        <v>35</v>
      </c>
      <c r="F344" s="12">
        <v>5380.5</v>
      </c>
      <c r="G344" s="8">
        <v>3587</v>
      </c>
      <c r="H344" s="14" t="s">
        <v>381</v>
      </c>
    </row>
    <row r="345" spans="1:8" x14ac:dyDescent="0.25">
      <c r="A345" s="8">
        <v>2015</v>
      </c>
      <c r="B345" s="8" t="s">
        <v>21</v>
      </c>
      <c r="C345" s="8" t="s">
        <v>33</v>
      </c>
      <c r="D345" s="13" t="s">
        <v>38</v>
      </c>
      <c r="E345" s="8" t="s">
        <v>35</v>
      </c>
      <c r="F345" s="12">
        <v>14619</v>
      </c>
      <c r="G345" s="8">
        <v>9746</v>
      </c>
      <c r="H345" s="14" t="s">
        <v>382</v>
      </c>
    </row>
    <row r="346" spans="1:8" x14ac:dyDescent="0.25">
      <c r="A346" s="8">
        <v>2015</v>
      </c>
      <c r="B346" s="8" t="s">
        <v>21</v>
      </c>
      <c r="C346" s="8" t="s">
        <v>24</v>
      </c>
      <c r="D346" s="13" t="s">
        <v>38</v>
      </c>
      <c r="E346" s="8" t="s">
        <v>35</v>
      </c>
      <c r="F346" s="12">
        <v>5380.5</v>
      </c>
      <c r="G346" s="8">
        <v>3587</v>
      </c>
      <c r="H346" s="14" t="s">
        <v>383</v>
      </c>
    </row>
    <row r="347" spans="1:8" x14ac:dyDescent="0.25">
      <c r="A347" s="8">
        <v>2015</v>
      </c>
      <c r="B347" s="8" t="s">
        <v>21</v>
      </c>
      <c r="C347" s="8" t="s">
        <v>33</v>
      </c>
      <c r="D347" s="13" t="s">
        <v>39</v>
      </c>
      <c r="E347" s="13" t="s">
        <v>26</v>
      </c>
      <c r="F347" s="12">
        <v>3547.5</v>
      </c>
      <c r="G347" s="8">
        <v>2365</v>
      </c>
      <c r="H347" s="14" t="s">
        <v>384</v>
      </c>
    </row>
    <row r="348" spans="1:8" x14ac:dyDescent="0.25">
      <c r="A348" s="8">
        <v>2015</v>
      </c>
      <c r="B348" s="8" t="s">
        <v>21</v>
      </c>
      <c r="C348" s="8" t="s">
        <v>31</v>
      </c>
      <c r="D348" s="13" t="s">
        <v>39</v>
      </c>
      <c r="E348" s="13" t="s">
        <v>26</v>
      </c>
      <c r="F348" s="12">
        <v>14596.5</v>
      </c>
      <c r="G348" s="8">
        <v>9731</v>
      </c>
      <c r="H348" s="14" t="s">
        <v>385</v>
      </c>
    </row>
    <row r="349" spans="1:8" x14ac:dyDescent="0.25">
      <c r="A349" s="8">
        <v>2015</v>
      </c>
      <c r="B349" s="8" t="s">
        <v>21</v>
      </c>
      <c r="C349" s="8" t="s">
        <v>33</v>
      </c>
      <c r="D349" s="13" t="s">
        <v>39</v>
      </c>
      <c r="E349" s="13" t="s">
        <v>26</v>
      </c>
      <c r="F349" s="12">
        <v>3547.5</v>
      </c>
      <c r="G349" s="8">
        <v>2365</v>
      </c>
      <c r="H349" s="14" t="s">
        <v>386</v>
      </c>
    </row>
    <row r="350" spans="1:8" x14ac:dyDescent="0.25">
      <c r="A350" s="8">
        <v>2015</v>
      </c>
      <c r="B350" s="8" t="s">
        <v>21</v>
      </c>
      <c r="C350" s="8" t="s">
        <v>31</v>
      </c>
      <c r="D350" s="13" t="s">
        <v>39</v>
      </c>
      <c r="E350" s="13" t="s">
        <v>26</v>
      </c>
      <c r="F350" s="12">
        <v>14596.5</v>
      </c>
      <c r="G350" s="8">
        <v>9731</v>
      </c>
      <c r="H350" s="14" t="s">
        <v>387</v>
      </c>
    </row>
    <row r="351" spans="1:8" x14ac:dyDescent="0.25">
      <c r="A351" s="8">
        <v>2015</v>
      </c>
      <c r="B351" s="8" t="s">
        <v>21</v>
      </c>
      <c r="C351" s="8" t="s">
        <v>31</v>
      </c>
      <c r="D351" s="8" t="s">
        <v>32</v>
      </c>
      <c r="E351" s="13" t="s">
        <v>28</v>
      </c>
      <c r="F351" s="12">
        <f>G351*1.4</f>
        <v>1398.6</v>
      </c>
      <c r="G351" s="8">
        <v>999</v>
      </c>
      <c r="H351" s="14" t="s">
        <v>388</v>
      </c>
    </row>
    <row r="352" spans="1:8" x14ac:dyDescent="0.25">
      <c r="A352" s="8">
        <v>2015</v>
      </c>
      <c r="B352" s="8" t="s">
        <v>21</v>
      </c>
      <c r="C352" s="8" t="s">
        <v>33</v>
      </c>
      <c r="D352" s="8" t="s">
        <v>32</v>
      </c>
      <c r="E352" s="13" t="s">
        <v>28</v>
      </c>
      <c r="F352" s="12">
        <f t="shared" ref="F352:F415" si="15">G352*1.4</f>
        <v>219.79999999999998</v>
      </c>
      <c r="G352" s="8">
        <v>157</v>
      </c>
      <c r="H352" s="14" t="s">
        <v>389</v>
      </c>
    </row>
    <row r="353" spans="1:8" x14ac:dyDescent="0.25">
      <c r="A353" s="8">
        <v>2015</v>
      </c>
      <c r="B353" s="8" t="s">
        <v>21</v>
      </c>
      <c r="C353" s="8" t="s">
        <v>31</v>
      </c>
      <c r="D353" s="8" t="s">
        <v>32</v>
      </c>
      <c r="E353" s="13" t="s">
        <v>28</v>
      </c>
      <c r="F353" s="12">
        <f t="shared" si="15"/>
        <v>1398.6</v>
      </c>
      <c r="G353" s="8">
        <v>999</v>
      </c>
      <c r="H353" s="14" t="s">
        <v>390</v>
      </c>
    </row>
    <row r="354" spans="1:8" x14ac:dyDescent="0.25">
      <c r="A354" s="8">
        <v>2015</v>
      </c>
      <c r="B354" s="8" t="s">
        <v>21</v>
      </c>
      <c r="C354" s="8" t="s">
        <v>33</v>
      </c>
      <c r="D354" s="8" t="s">
        <v>32</v>
      </c>
      <c r="E354" s="13" t="s">
        <v>28</v>
      </c>
      <c r="F354" s="12">
        <f t="shared" si="15"/>
        <v>219.79999999999998</v>
      </c>
      <c r="G354" s="8">
        <v>157</v>
      </c>
      <c r="H354" s="14" t="s">
        <v>391</v>
      </c>
    </row>
    <row r="355" spans="1:8" x14ac:dyDescent="0.25">
      <c r="A355" s="8">
        <v>2015</v>
      </c>
      <c r="B355" s="8" t="s">
        <v>21</v>
      </c>
      <c r="C355" s="8" t="s">
        <v>24</v>
      </c>
      <c r="D355" s="8" t="s">
        <v>34</v>
      </c>
      <c r="E355" s="8" t="s">
        <v>35</v>
      </c>
      <c r="F355" s="12">
        <f t="shared" si="15"/>
        <v>5021.7999999999993</v>
      </c>
      <c r="G355" s="8">
        <v>3587</v>
      </c>
      <c r="H355" s="14" t="s">
        <v>392</v>
      </c>
    </row>
    <row r="356" spans="1:8" x14ac:dyDescent="0.25">
      <c r="A356" s="8">
        <v>2015</v>
      </c>
      <c r="B356" s="8" t="s">
        <v>21</v>
      </c>
      <c r="C356" s="8" t="s">
        <v>36</v>
      </c>
      <c r="D356" s="8" t="s">
        <v>34</v>
      </c>
      <c r="E356" s="8" t="s">
        <v>35</v>
      </c>
      <c r="F356" s="12">
        <f t="shared" si="15"/>
        <v>13483.4</v>
      </c>
      <c r="G356" s="8">
        <v>9631</v>
      </c>
      <c r="H356" s="14" t="s">
        <v>393</v>
      </c>
    </row>
    <row r="357" spans="1:8" x14ac:dyDescent="0.25">
      <c r="A357" s="8">
        <v>2015</v>
      </c>
      <c r="B357" s="8" t="s">
        <v>21</v>
      </c>
      <c r="C357" s="8" t="s">
        <v>24</v>
      </c>
      <c r="D357" s="8" t="s">
        <v>34</v>
      </c>
      <c r="E357" s="8" t="s">
        <v>35</v>
      </c>
      <c r="F357" s="12">
        <f t="shared" si="15"/>
        <v>5021.7999999999993</v>
      </c>
      <c r="G357" s="8">
        <v>3587</v>
      </c>
      <c r="H357" s="14" t="s">
        <v>394</v>
      </c>
    </row>
    <row r="358" spans="1:8" x14ac:dyDescent="0.25">
      <c r="A358" s="8">
        <v>2015</v>
      </c>
      <c r="B358" s="8" t="s">
        <v>21</v>
      </c>
      <c r="C358" s="8" t="s">
        <v>36</v>
      </c>
      <c r="D358" s="8" t="s">
        <v>34</v>
      </c>
      <c r="E358" s="8" t="s">
        <v>35</v>
      </c>
      <c r="F358" s="12">
        <f t="shared" si="15"/>
        <v>13483.4</v>
      </c>
      <c r="G358" s="8">
        <v>9631</v>
      </c>
      <c r="H358" s="14" t="s">
        <v>395</v>
      </c>
    </row>
    <row r="359" spans="1:8" x14ac:dyDescent="0.25">
      <c r="A359" s="8">
        <v>2015</v>
      </c>
      <c r="B359" s="8" t="s">
        <v>18</v>
      </c>
      <c r="C359" s="8" t="s">
        <v>36</v>
      </c>
      <c r="D359" s="8" t="s">
        <v>30</v>
      </c>
      <c r="E359" s="8" t="s">
        <v>27</v>
      </c>
      <c r="F359" s="12">
        <f t="shared" si="15"/>
        <v>2209.1999999999998</v>
      </c>
      <c r="G359" s="8">
        <v>1578</v>
      </c>
      <c r="H359" s="14" t="s">
        <v>396</v>
      </c>
    </row>
    <row r="360" spans="1:8" x14ac:dyDescent="0.25">
      <c r="A360" s="8">
        <v>2015</v>
      </c>
      <c r="B360" s="8" t="s">
        <v>18</v>
      </c>
      <c r="C360" s="8" t="s">
        <v>33</v>
      </c>
      <c r="D360" s="8" t="s">
        <v>30</v>
      </c>
      <c r="E360" s="8" t="s">
        <v>27</v>
      </c>
      <c r="F360" s="12">
        <f t="shared" si="15"/>
        <v>6421.7999999999993</v>
      </c>
      <c r="G360" s="8">
        <v>4587</v>
      </c>
      <c r="H360" s="14" t="s">
        <v>397</v>
      </c>
    </row>
    <row r="361" spans="1:8" x14ac:dyDescent="0.25">
      <c r="A361" s="8">
        <v>2015</v>
      </c>
      <c r="B361" s="8" t="s">
        <v>18</v>
      </c>
      <c r="C361" s="8" t="s">
        <v>36</v>
      </c>
      <c r="D361" s="8" t="s">
        <v>30</v>
      </c>
      <c r="E361" s="8" t="s">
        <v>27</v>
      </c>
      <c r="F361" s="12">
        <f t="shared" si="15"/>
        <v>2209.1999999999998</v>
      </c>
      <c r="G361" s="8">
        <v>1578</v>
      </c>
      <c r="H361" s="14" t="s">
        <v>398</v>
      </c>
    </row>
    <row r="362" spans="1:8" x14ac:dyDescent="0.25">
      <c r="A362" s="8">
        <v>2015</v>
      </c>
      <c r="B362" s="8" t="s">
        <v>18</v>
      </c>
      <c r="C362" s="8" t="s">
        <v>33</v>
      </c>
      <c r="D362" s="8" t="s">
        <v>30</v>
      </c>
      <c r="E362" s="8" t="s">
        <v>27</v>
      </c>
      <c r="F362" s="12">
        <f t="shared" si="15"/>
        <v>6421.7999999999993</v>
      </c>
      <c r="G362" s="8">
        <v>4587</v>
      </c>
      <c r="H362" s="14" t="s">
        <v>399</v>
      </c>
    </row>
    <row r="363" spans="1:8" x14ac:dyDescent="0.25">
      <c r="A363" s="8">
        <v>2015</v>
      </c>
      <c r="B363" s="8" t="s">
        <v>18</v>
      </c>
      <c r="C363" s="8" t="s">
        <v>24</v>
      </c>
      <c r="D363" s="13" t="s">
        <v>38</v>
      </c>
      <c r="E363" s="8" t="s">
        <v>35</v>
      </c>
      <c r="F363" s="12">
        <f t="shared" si="15"/>
        <v>11048.8</v>
      </c>
      <c r="G363" s="8">
        <v>7892</v>
      </c>
      <c r="H363" s="14" t="s">
        <v>400</v>
      </c>
    </row>
    <row r="364" spans="1:8" x14ac:dyDescent="0.25">
      <c r="A364" s="8">
        <v>2015</v>
      </c>
      <c r="B364" s="8" t="s">
        <v>18</v>
      </c>
      <c r="C364" s="8" t="s">
        <v>36</v>
      </c>
      <c r="D364" s="13" t="s">
        <v>38</v>
      </c>
      <c r="E364" s="8" t="s">
        <v>35</v>
      </c>
      <c r="F364" s="12">
        <f t="shared" si="15"/>
        <v>2209.1999999999998</v>
      </c>
      <c r="G364" s="8">
        <v>1578</v>
      </c>
      <c r="H364" s="14" t="s">
        <v>401</v>
      </c>
    </row>
    <row r="365" spans="1:8" x14ac:dyDescent="0.25">
      <c r="A365" s="8">
        <v>2015</v>
      </c>
      <c r="B365" s="8" t="s">
        <v>18</v>
      </c>
      <c r="C365" s="8" t="s">
        <v>24</v>
      </c>
      <c r="D365" s="13" t="s">
        <v>38</v>
      </c>
      <c r="E365" s="8" t="s">
        <v>35</v>
      </c>
      <c r="F365" s="12">
        <f t="shared" si="15"/>
        <v>6561.7999999999993</v>
      </c>
      <c r="G365" s="8">
        <v>4687</v>
      </c>
      <c r="H365" s="14" t="s">
        <v>402</v>
      </c>
    </row>
    <row r="366" spans="1:8" x14ac:dyDescent="0.25">
      <c r="A366" s="8">
        <v>2015</v>
      </c>
      <c r="B366" s="8" t="s">
        <v>18</v>
      </c>
      <c r="C366" s="8" t="s">
        <v>31</v>
      </c>
      <c r="D366" s="13" t="s">
        <v>38</v>
      </c>
      <c r="E366" s="8" t="s">
        <v>35</v>
      </c>
      <c r="F366" s="12">
        <f t="shared" si="15"/>
        <v>1909.6</v>
      </c>
      <c r="G366" s="8">
        <v>1364</v>
      </c>
      <c r="H366" s="14" t="s">
        <v>403</v>
      </c>
    </row>
    <row r="367" spans="1:8" x14ac:dyDescent="0.25">
      <c r="A367" s="8">
        <v>2015</v>
      </c>
      <c r="B367" s="8" t="s">
        <v>18</v>
      </c>
      <c r="C367" s="8" t="s">
        <v>24</v>
      </c>
      <c r="D367" s="13" t="s">
        <v>38</v>
      </c>
      <c r="E367" s="8" t="s">
        <v>35</v>
      </c>
      <c r="F367" s="12">
        <f t="shared" si="15"/>
        <v>11048.8</v>
      </c>
      <c r="G367" s="8">
        <v>7892</v>
      </c>
      <c r="H367" s="14" t="s">
        <v>404</v>
      </c>
    </row>
    <row r="368" spans="1:8" x14ac:dyDescent="0.25">
      <c r="A368" s="8">
        <v>2015</v>
      </c>
      <c r="B368" s="8" t="s">
        <v>18</v>
      </c>
      <c r="C368" s="8" t="s">
        <v>36</v>
      </c>
      <c r="D368" s="13" t="s">
        <v>38</v>
      </c>
      <c r="E368" s="8" t="s">
        <v>35</v>
      </c>
      <c r="F368" s="12">
        <f t="shared" si="15"/>
        <v>2209.1999999999998</v>
      </c>
      <c r="G368" s="8">
        <v>1578</v>
      </c>
      <c r="H368" s="14" t="s">
        <v>405</v>
      </c>
    </row>
    <row r="369" spans="1:8" x14ac:dyDescent="0.25">
      <c r="A369" s="8">
        <v>2015</v>
      </c>
      <c r="B369" s="8" t="s">
        <v>18</v>
      </c>
      <c r="C369" s="8" t="s">
        <v>24</v>
      </c>
      <c r="D369" s="13" t="s">
        <v>38</v>
      </c>
      <c r="E369" s="8" t="s">
        <v>35</v>
      </c>
      <c r="F369" s="12">
        <f t="shared" si="15"/>
        <v>6561.7999999999993</v>
      </c>
      <c r="G369" s="8">
        <v>4687</v>
      </c>
      <c r="H369" s="14" t="s">
        <v>406</v>
      </c>
    </row>
    <row r="370" spans="1:8" x14ac:dyDescent="0.25">
      <c r="A370" s="8">
        <v>2015</v>
      </c>
      <c r="B370" s="8" t="s">
        <v>18</v>
      </c>
      <c r="C370" s="8" t="s">
        <v>31</v>
      </c>
      <c r="D370" s="13" t="s">
        <v>38</v>
      </c>
      <c r="E370" s="8" t="s">
        <v>35</v>
      </c>
      <c r="F370" s="12">
        <f t="shared" si="15"/>
        <v>1909.6</v>
      </c>
      <c r="G370" s="8">
        <v>1364</v>
      </c>
      <c r="H370" s="14" t="s">
        <v>407</v>
      </c>
    </row>
    <row r="371" spans="1:8" x14ac:dyDescent="0.25">
      <c r="A371" s="8">
        <v>2015</v>
      </c>
      <c r="B371" s="8" t="s">
        <v>18</v>
      </c>
      <c r="C371" s="8" t="s">
        <v>33</v>
      </c>
      <c r="D371" s="13" t="s">
        <v>39</v>
      </c>
      <c r="E371" s="13" t="s">
        <v>26</v>
      </c>
      <c r="F371" s="12">
        <f t="shared" si="15"/>
        <v>8206.7999999999993</v>
      </c>
      <c r="G371" s="8">
        <v>5862</v>
      </c>
      <c r="H371" s="14" t="s">
        <v>408</v>
      </c>
    </row>
    <row r="372" spans="1:8" x14ac:dyDescent="0.25">
      <c r="A372" s="8">
        <v>2015</v>
      </c>
      <c r="B372" s="8" t="s">
        <v>18</v>
      </c>
      <c r="C372" s="8" t="s">
        <v>33</v>
      </c>
      <c r="D372" s="13" t="s">
        <v>39</v>
      </c>
      <c r="E372" s="13" t="s">
        <v>26</v>
      </c>
      <c r="F372" s="12">
        <f t="shared" si="15"/>
        <v>10381</v>
      </c>
      <c r="G372" s="8">
        <v>7415</v>
      </c>
      <c r="H372" s="14" t="s">
        <v>409</v>
      </c>
    </row>
    <row r="373" spans="1:8" x14ac:dyDescent="0.25">
      <c r="A373" s="8">
        <v>2015</v>
      </c>
      <c r="B373" s="8" t="s">
        <v>18</v>
      </c>
      <c r="C373" s="8" t="s">
        <v>24</v>
      </c>
      <c r="D373" s="13" t="s">
        <v>39</v>
      </c>
      <c r="E373" s="13" t="s">
        <v>26</v>
      </c>
      <c r="F373" s="12">
        <f t="shared" si="15"/>
        <v>12532.8</v>
      </c>
      <c r="G373" s="8">
        <v>8952</v>
      </c>
      <c r="H373" s="14" t="s">
        <v>410</v>
      </c>
    </row>
    <row r="374" spans="1:8" x14ac:dyDescent="0.25">
      <c r="A374" s="8">
        <v>2015</v>
      </c>
      <c r="B374" s="8" t="s">
        <v>18</v>
      </c>
      <c r="C374" s="8" t="s">
        <v>33</v>
      </c>
      <c r="D374" s="13" t="s">
        <v>39</v>
      </c>
      <c r="E374" s="13" t="s">
        <v>26</v>
      </c>
      <c r="F374" s="12">
        <f t="shared" si="15"/>
        <v>13644.4</v>
      </c>
      <c r="G374" s="8">
        <v>9746</v>
      </c>
      <c r="H374" s="14" t="s">
        <v>411</v>
      </c>
    </row>
    <row r="375" spans="1:8" x14ac:dyDescent="0.25">
      <c r="A375" s="8">
        <v>2015</v>
      </c>
      <c r="B375" s="8" t="s">
        <v>18</v>
      </c>
      <c r="C375" s="8" t="s">
        <v>36</v>
      </c>
      <c r="D375" s="13" t="s">
        <v>39</v>
      </c>
      <c r="E375" s="13" t="s">
        <v>26</v>
      </c>
      <c r="F375" s="12">
        <f t="shared" si="15"/>
        <v>2209.1999999999998</v>
      </c>
      <c r="G375" s="8">
        <v>1578</v>
      </c>
      <c r="H375" s="14" t="s">
        <v>412</v>
      </c>
    </row>
    <row r="376" spans="1:8" x14ac:dyDescent="0.25">
      <c r="A376" s="8">
        <v>2015</v>
      </c>
      <c r="B376" s="8" t="s">
        <v>18</v>
      </c>
      <c r="C376" s="8" t="s">
        <v>33</v>
      </c>
      <c r="D376" s="13" t="s">
        <v>39</v>
      </c>
      <c r="E376" s="13" t="s">
        <v>26</v>
      </c>
      <c r="F376" s="12">
        <f t="shared" si="15"/>
        <v>8206.7999999999993</v>
      </c>
      <c r="G376" s="8">
        <v>5862</v>
      </c>
      <c r="H376" s="14" t="s">
        <v>413</v>
      </c>
    </row>
    <row r="377" spans="1:8" x14ac:dyDescent="0.25">
      <c r="A377" s="8">
        <v>2015</v>
      </c>
      <c r="B377" s="8" t="s">
        <v>18</v>
      </c>
      <c r="C377" s="8" t="s">
        <v>33</v>
      </c>
      <c r="D377" s="13" t="s">
        <v>39</v>
      </c>
      <c r="E377" s="13" t="s">
        <v>26</v>
      </c>
      <c r="F377" s="12">
        <f t="shared" si="15"/>
        <v>10381</v>
      </c>
      <c r="G377" s="8">
        <v>7415</v>
      </c>
      <c r="H377" s="14" t="s">
        <v>414</v>
      </c>
    </row>
    <row r="378" spans="1:8" x14ac:dyDescent="0.25">
      <c r="A378" s="8">
        <v>2015</v>
      </c>
      <c r="B378" s="8" t="s">
        <v>18</v>
      </c>
      <c r="C378" s="8" t="s">
        <v>24</v>
      </c>
      <c r="D378" s="13" t="s">
        <v>39</v>
      </c>
      <c r="E378" s="13" t="s">
        <v>26</v>
      </c>
      <c r="F378" s="12">
        <f t="shared" si="15"/>
        <v>12532.8</v>
      </c>
      <c r="G378" s="8">
        <v>8952</v>
      </c>
      <c r="H378" s="14" t="s">
        <v>415</v>
      </c>
    </row>
    <row r="379" spans="1:8" x14ac:dyDescent="0.25">
      <c r="A379" s="8">
        <v>2015</v>
      </c>
      <c r="B379" s="8" t="s">
        <v>18</v>
      </c>
      <c r="C379" s="8" t="s">
        <v>33</v>
      </c>
      <c r="D379" s="13" t="s">
        <v>39</v>
      </c>
      <c r="E379" s="13" t="s">
        <v>26</v>
      </c>
      <c r="F379" s="12">
        <f t="shared" si="15"/>
        <v>13644.4</v>
      </c>
      <c r="G379" s="8">
        <v>9746</v>
      </c>
      <c r="H379" s="14" t="s">
        <v>416</v>
      </c>
    </row>
    <row r="380" spans="1:8" x14ac:dyDescent="0.25">
      <c r="A380" s="8">
        <v>2015</v>
      </c>
      <c r="B380" s="8" t="s">
        <v>18</v>
      </c>
      <c r="C380" s="8" t="s">
        <v>36</v>
      </c>
      <c r="D380" s="13" t="s">
        <v>39</v>
      </c>
      <c r="E380" s="13" t="s">
        <v>26</v>
      </c>
      <c r="F380" s="12">
        <f t="shared" si="15"/>
        <v>2209.1999999999998</v>
      </c>
      <c r="G380" s="8">
        <v>1578</v>
      </c>
      <c r="H380" s="14" t="s">
        <v>417</v>
      </c>
    </row>
    <row r="381" spans="1:8" x14ac:dyDescent="0.25">
      <c r="A381" s="8">
        <v>2015</v>
      </c>
      <c r="B381" s="8" t="s">
        <v>18</v>
      </c>
      <c r="C381" s="8" t="s">
        <v>24</v>
      </c>
      <c r="D381" s="8" t="s">
        <v>32</v>
      </c>
      <c r="E381" s="13" t="s">
        <v>28</v>
      </c>
      <c r="F381" s="12">
        <f t="shared" si="15"/>
        <v>11048.8</v>
      </c>
      <c r="G381" s="8">
        <v>7892</v>
      </c>
      <c r="H381" s="14" t="s">
        <v>418</v>
      </c>
    </row>
    <row r="382" spans="1:8" x14ac:dyDescent="0.25">
      <c r="A382" s="8">
        <v>2015</v>
      </c>
      <c r="B382" s="8" t="s">
        <v>18</v>
      </c>
      <c r="C382" s="8" t="s">
        <v>24</v>
      </c>
      <c r="D382" s="8" t="s">
        <v>32</v>
      </c>
      <c r="E382" s="13" t="s">
        <v>28</v>
      </c>
      <c r="F382" s="12">
        <f t="shared" si="15"/>
        <v>11180.4</v>
      </c>
      <c r="G382" s="8">
        <v>7986</v>
      </c>
      <c r="H382" s="14" t="s">
        <v>419</v>
      </c>
    </row>
    <row r="383" spans="1:8" x14ac:dyDescent="0.25">
      <c r="A383" s="8">
        <v>2015</v>
      </c>
      <c r="B383" s="8" t="s">
        <v>18</v>
      </c>
      <c r="C383" s="8" t="s">
        <v>24</v>
      </c>
      <c r="D383" s="8" t="s">
        <v>32</v>
      </c>
      <c r="E383" s="13" t="s">
        <v>28</v>
      </c>
      <c r="F383" s="12">
        <f t="shared" si="15"/>
        <v>11048.8</v>
      </c>
      <c r="G383" s="8">
        <v>7892</v>
      </c>
      <c r="H383" s="14" t="s">
        <v>420</v>
      </c>
    </row>
    <row r="384" spans="1:8" x14ac:dyDescent="0.25">
      <c r="A384" s="8">
        <v>2015</v>
      </c>
      <c r="B384" s="8" t="s">
        <v>18</v>
      </c>
      <c r="C384" s="8" t="s">
        <v>24</v>
      </c>
      <c r="D384" s="8" t="s">
        <v>32</v>
      </c>
      <c r="E384" s="13" t="s">
        <v>28</v>
      </c>
      <c r="F384" s="12">
        <f t="shared" si="15"/>
        <v>11180.4</v>
      </c>
      <c r="G384" s="8">
        <v>7986</v>
      </c>
      <c r="H384" s="14" t="s">
        <v>421</v>
      </c>
    </row>
    <row r="385" spans="1:8" x14ac:dyDescent="0.25">
      <c r="A385" s="8">
        <v>2015</v>
      </c>
      <c r="B385" s="8" t="s">
        <v>18</v>
      </c>
      <c r="C385" s="8" t="s">
        <v>24</v>
      </c>
      <c r="D385" s="8" t="s">
        <v>34</v>
      </c>
      <c r="E385" s="8" t="s">
        <v>35</v>
      </c>
      <c r="F385" s="12">
        <f t="shared" si="15"/>
        <v>6561.7999999999993</v>
      </c>
      <c r="G385" s="8">
        <v>4687</v>
      </c>
      <c r="H385" s="14" t="s">
        <v>422</v>
      </c>
    </row>
    <row r="386" spans="1:8" x14ac:dyDescent="0.25">
      <c r="A386" s="8">
        <v>2015</v>
      </c>
      <c r="B386" s="8" t="s">
        <v>18</v>
      </c>
      <c r="C386" s="8" t="s">
        <v>31</v>
      </c>
      <c r="D386" s="8" t="s">
        <v>34</v>
      </c>
      <c r="E386" s="8" t="s">
        <v>35</v>
      </c>
      <c r="F386" s="12">
        <f t="shared" si="15"/>
        <v>1909.6</v>
      </c>
      <c r="G386" s="8">
        <v>1364</v>
      </c>
      <c r="H386" s="14" t="s">
        <v>423</v>
      </c>
    </row>
    <row r="387" spans="1:8" x14ac:dyDescent="0.25">
      <c r="A387" s="8">
        <v>2015</v>
      </c>
      <c r="B387" s="8" t="s">
        <v>18</v>
      </c>
      <c r="C387" s="8" t="s">
        <v>24</v>
      </c>
      <c r="D387" s="8" t="s">
        <v>34</v>
      </c>
      <c r="E387" s="8" t="s">
        <v>35</v>
      </c>
      <c r="F387" s="12">
        <f t="shared" si="15"/>
        <v>6561.7999999999993</v>
      </c>
      <c r="G387" s="8">
        <v>4687</v>
      </c>
      <c r="H387" s="14" t="s">
        <v>424</v>
      </c>
    </row>
    <row r="388" spans="1:8" x14ac:dyDescent="0.25">
      <c r="A388" s="8">
        <v>2015</v>
      </c>
      <c r="B388" s="8" t="s">
        <v>18</v>
      </c>
      <c r="C388" s="8" t="s">
        <v>31</v>
      </c>
      <c r="D388" s="8" t="s">
        <v>34</v>
      </c>
      <c r="E388" s="8" t="s">
        <v>35</v>
      </c>
      <c r="F388" s="12">
        <f t="shared" si="15"/>
        <v>1909.6</v>
      </c>
      <c r="G388" s="8">
        <v>1364</v>
      </c>
      <c r="H388" s="14" t="s">
        <v>425</v>
      </c>
    </row>
    <row r="389" spans="1:8" x14ac:dyDescent="0.25">
      <c r="A389" s="8">
        <v>2015</v>
      </c>
      <c r="B389" s="8" t="s">
        <v>22</v>
      </c>
      <c r="C389" s="8" t="s">
        <v>31</v>
      </c>
      <c r="D389" s="8" t="s">
        <v>30</v>
      </c>
      <c r="E389" s="8" t="s">
        <v>27</v>
      </c>
      <c r="F389" s="12">
        <f t="shared" si="15"/>
        <v>697.19999999999993</v>
      </c>
      <c r="G389" s="8">
        <v>498</v>
      </c>
      <c r="H389" s="14" t="s">
        <v>426</v>
      </c>
    </row>
    <row r="390" spans="1:8" x14ac:dyDescent="0.25">
      <c r="A390" s="8">
        <v>2015</v>
      </c>
      <c r="B390" s="8" t="s">
        <v>22</v>
      </c>
      <c r="C390" s="8" t="s">
        <v>36</v>
      </c>
      <c r="D390" s="8" t="s">
        <v>30</v>
      </c>
      <c r="E390" s="8" t="s">
        <v>27</v>
      </c>
      <c r="F390" s="12">
        <f t="shared" si="15"/>
        <v>6853</v>
      </c>
      <c r="G390" s="8">
        <v>4895</v>
      </c>
      <c r="H390" s="14" t="s">
        <v>427</v>
      </c>
    </row>
    <row r="391" spans="1:8" x14ac:dyDescent="0.25">
      <c r="A391" s="8">
        <v>2015</v>
      </c>
      <c r="B391" s="8" t="s">
        <v>22</v>
      </c>
      <c r="C391" s="8" t="s">
        <v>31</v>
      </c>
      <c r="D391" s="8" t="s">
        <v>30</v>
      </c>
      <c r="E391" s="8" t="s">
        <v>27</v>
      </c>
      <c r="F391" s="12">
        <f t="shared" si="15"/>
        <v>697.19999999999993</v>
      </c>
      <c r="G391" s="8">
        <v>498</v>
      </c>
      <c r="H391" s="14" t="s">
        <v>428</v>
      </c>
    </row>
    <row r="392" spans="1:8" x14ac:dyDescent="0.25">
      <c r="A392" s="8">
        <v>2015</v>
      </c>
      <c r="B392" s="8" t="s">
        <v>22</v>
      </c>
      <c r="C392" s="8" t="s">
        <v>36</v>
      </c>
      <c r="D392" s="8" t="s">
        <v>30</v>
      </c>
      <c r="E392" s="8" t="s">
        <v>27</v>
      </c>
      <c r="F392" s="12">
        <f t="shared" si="15"/>
        <v>6853</v>
      </c>
      <c r="G392" s="8">
        <v>4895</v>
      </c>
      <c r="H392" s="14" t="s">
        <v>429</v>
      </c>
    </row>
    <row r="393" spans="1:8" x14ac:dyDescent="0.25">
      <c r="A393" s="8">
        <v>2015</v>
      </c>
      <c r="B393" s="8" t="s">
        <v>22</v>
      </c>
      <c r="C393" s="8" t="s">
        <v>36</v>
      </c>
      <c r="D393" s="13" t="s">
        <v>38</v>
      </c>
      <c r="E393" s="8" t="s">
        <v>35</v>
      </c>
      <c r="F393" s="12">
        <f t="shared" si="15"/>
        <v>6854.4</v>
      </c>
      <c r="G393" s="8">
        <v>4896</v>
      </c>
      <c r="H393" s="14" t="s">
        <v>430</v>
      </c>
    </row>
    <row r="394" spans="1:8" x14ac:dyDescent="0.25">
      <c r="A394" s="8">
        <v>2015</v>
      </c>
      <c r="B394" s="8" t="s">
        <v>22</v>
      </c>
      <c r="C394" s="8" t="s">
        <v>24</v>
      </c>
      <c r="D394" s="13" t="s">
        <v>38</v>
      </c>
      <c r="E394" s="8" t="s">
        <v>35</v>
      </c>
      <c r="F394" s="12">
        <f t="shared" si="15"/>
        <v>6421.7999999999993</v>
      </c>
      <c r="G394" s="8">
        <v>4587</v>
      </c>
      <c r="H394" s="14" t="s">
        <v>431</v>
      </c>
    </row>
    <row r="395" spans="1:8" x14ac:dyDescent="0.25">
      <c r="A395" s="8">
        <v>2015</v>
      </c>
      <c r="B395" s="8" t="s">
        <v>22</v>
      </c>
      <c r="C395" s="8" t="s">
        <v>36</v>
      </c>
      <c r="D395" s="13" t="s">
        <v>38</v>
      </c>
      <c r="E395" s="8" t="s">
        <v>35</v>
      </c>
      <c r="F395" s="12">
        <f t="shared" si="15"/>
        <v>6854.4</v>
      </c>
      <c r="G395" s="8">
        <v>4896</v>
      </c>
      <c r="H395" s="14" t="s">
        <v>432</v>
      </c>
    </row>
    <row r="396" spans="1:8" x14ac:dyDescent="0.25">
      <c r="A396" s="8">
        <v>2015</v>
      </c>
      <c r="B396" s="8" t="s">
        <v>22</v>
      </c>
      <c r="C396" s="8" t="s">
        <v>24</v>
      </c>
      <c r="D396" s="13" t="s">
        <v>38</v>
      </c>
      <c r="E396" s="8" t="s">
        <v>35</v>
      </c>
      <c r="F396" s="12">
        <f t="shared" si="15"/>
        <v>6421.7999999999993</v>
      </c>
      <c r="G396" s="8">
        <v>4587</v>
      </c>
      <c r="H396" s="14" t="s">
        <v>433</v>
      </c>
    </row>
    <row r="397" spans="1:8" x14ac:dyDescent="0.25">
      <c r="A397" s="8">
        <v>2015</v>
      </c>
      <c r="B397" s="8" t="s">
        <v>22</v>
      </c>
      <c r="C397" s="8" t="s">
        <v>24</v>
      </c>
      <c r="D397" s="13" t="s">
        <v>39</v>
      </c>
      <c r="E397" s="13" t="s">
        <v>26</v>
      </c>
      <c r="F397" s="12">
        <f t="shared" si="15"/>
        <v>5021.7999999999993</v>
      </c>
      <c r="G397" s="8">
        <v>3587</v>
      </c>
      <c r="H397" s="14" t="s">
        <v>434</v>
      </c>
    </row>
    <row r="398" spans="1:8" x14ac:dyDescent="0.25">
      <c r="A398" s="8">
        <v>2015</v>
      </c>
      <c r="B398" s="8" t="s">
        <v>22</v>
      </c>
      <c r="C398" s="8" t="s">
        <v>24</v>
      </c>
      <c r="D398" s="13" t="s">
        <v>39</v>
      </c>
      <c r="E398" s="13" t="s">
        <v>26</v>
      </c>
      <c r="F398" s="12">
        <f t="shared" si="15"/>
        <v>11048.8</v>
      </c>
      <c r="G398" s="8">
        <v>7892</v>
      </c>
      <c r="H398" s="14" t="s">
        <v>435</v>
      </c>
    </row>
    <row r="399" spans="1:8" x14ac:dyDescent="0.25">
      <c r="A399" s="8">
        <v>2015</v>
      </c>
      <c r="B399" s="8" t="s">
        <v>22</v>
      </c>
      <c r="C399" s="8" t="s">
        <v>24</v>
      </c>
      <c r="D399" s="13" t="s">
        <v>39</v>
      </c>
      <c r="E399" s="13" t="s">
        <v>26</v>
      </c>
      <c r="F399" s="12">
        <f t="shared" si="15"/>
        <v>5021.7999999999993</v>
      </c>
      <c r="G399" s="8">
        <v>3587</v>
      </c>
      <c r="H399" s="14" t="s">
        <v>436</v>
      </c>
    </row>
    <row r="400" spans="1:8" x14ac:dyDescent="0.25">
      <c r="A400" s="8">
        <v>2015</v>
      </c>
      <c r="B400" s="8" t="s">
        <v>22</v>
      </c>
      <c r="C400" s="8" t="s">
        <v>24</v>
      </c>
      <c r="D400" s="13" t="s">
        <v>39</v>
      </c>
      <c r="E400" s="13" t="s">
        <v>26</v>
      </c>
      <c r="F400" s="12">
        <f t="shared" si="15"/>
        <v>11048.8</v>
      </c>
      <c r="G400" s="8">
        <v>7892</v>
      </c>
      <c r="H400" s="14" t="s">
        <v>437</v>
      </c>
    </row>
    <row r="401" spans="1:8" x14ac:dyDescent="0.25">
      <c r="A401" s="8">
        <v>2015</v>
      </c>
      <c r="B401" s="8" t="s">
        <v>22</v>
      </c>
      <c r="C401" s="8" t="s">
        <v>36</v>
      </c>
      <c r="D401" s="8" t="s">
        <v>32</v>
      </c>
      <c r="E401" s="13" t="s">
        <v>28</v>
      </c>
      <c r="F401" s="12">
        <f t="shared" si="15"/>
        <v>6854.4</v>
      </c>
      <c r="G401" s="8">
        <v>4896</v>
      </c>
      <c r="H401" s="14" t="s">
        <v>438</v>
      </c>
    </row>
    <row r="402" spans="1:8" x14ac:dyDescent="0.25">
      <c r="A402" s="8">
        <v>2015</v>
      </c>
      <c r="B402" s="8" t="s">
        <v>22</v>
      </c>
      <c r="C402" s="8" t="s">
        <v>24</v>
      </c>
      <c r="D402" s="8" t="s">
        <v>32</v>
      </c>
      <c r="E402" s="13" t="s">
        <v>28</v>
      </c>
      <c r="F402" s="12">
        <f t="shared" si="15"/>
        <v>6421.7999999999993</v>
      </c>
      <c r="G402" s="8">
        <v>4587</v>
      </c>
      <c r="H402" s="14" t="s">
        <v>439</v>
      </c>
    </row>
    <row r="403" spans="1:8" x14ac:dyDescent="0.25">
      <c r="A403" s="8">
        <v>2015</v>
      </c>
      <c r="B403" s="8" t="s">
        <v>22</v>
      </c>
      <c r="C403" s="8" t="s">
        <v>24</v>
      </c>
      <c r="D403" s="8" t="s">
        <v>32</v>
      </c>
      <c r="E403" s="13" t="s">
        <v>28</v>
      </c>
      <c r="F403" s="12">
        <f t="shared" si="15"/>
        <v>6830.5999999999995</v>
      </c>
      <c r="G403" s="8">
        <v>4879</v>
      </c>
      <c r="H403" s="14" t="s">
        <v>440</v>
      </c>
    </row>
    <row r="404" spans="1:8" x14ac:dyDescent="0.25">
      <c r="A404" s="8">
        <v>2015</v>
      </c>
      <c r="B404" s="8" t="s">
        <v>22</v>
      </c>
      <c r="C404" s="8" t="s">
        <v>36</v>
      </c>
      <c r="D404" s="8" t="s">
        <v>32</v>
      </c>
      <c r="E404" s="13" t="s">
        <v>28</v>
      </c>
      <c r="F404" s="12">
        <f t="shared" si="15"/>
        <v>6854.4</v>
      </c>
      <c r="G404" s="8">
        <v>4896</v>
      </c>
      <c r="H404" s="14" t="s">
        <v>441</v>
      </c>
    </row>
    <row r="405" spans="1:8" x14ac:dyDescent="0.25">
      <c r="A405" s="8">
        <v>2015</v>
      </c>
      <c r="B405" s="8" t="s">
        <v>22</v>
      </c>
      <c r="C405" s="8" t="s">
        <v>24</v>
      </c>
      <c r="D405" s="8" t="s">
        <v>32</v>
      </c>
      <c r="E405" s="13" t="s">
        <v>28</v>
      </c>
      <c r="F405" s="12">
        <f t="shared" si="15"/>
        <v>6421.7999999999993</v>
      </c>
      <c r="G405" s="8">
        <v>4587</v>
      </c>
      <c r="H405" s="14" t="s">
        <v>442</v>
      </c>
    </row>
    <row r="406" spans="1:8" x14ac:dyDescent="0.25">
      <c r="A406" s="8">
        <v>2015</v>
      </c>
      <c r="B406" s="8" t="s">
        <v>22</v>
      </c>
      <c r="C406" s="8" t="s">
        <v>24</v>
      </c>
      <c r="D406" s="8" t="s">
        <v>32</v>
      </c>
      <c r="E406" s="13" t="s">
        <v>28</v>
      </c>
      <c r="F406" s="12">
        <f t="shared" si="15"/>
        <v>6830.5999999999995</v>
      </c>
      <c r="G406" s="8">
        <v>4879</v>
      </c>
      <c r="H406" s="14" t="s">
        <v>443</v>
      </c>
    </row>
    <row r="407" spans="1:8" x14ac:dyDescent="0.25">
      <c r="A407" s="8">
        <v>2015</v>
      </c>
      <c r="B407" s="8" t="s">
        <v>22</v>
      </c>
      <c r="C407" s="8" t="s">
        <v>33</v>
      </c>
      <c r="D407" s="8" t="s">
        <v>34</v>
      </c>
      <c r="E407" s="8" t="s">
        <v>35</v>
      </c>
      <c r="F407" s="12">
        <f t="shared" si="15"/>
        <v>6421.7999999999993</v>
      </c>
      <c r="G407" s="8">
        <v>4587</v>
      </c>
      <c r="H407" s="14" t="s">
        <v>444</v>
      </c>
    </row>
    <row r="408" spans="1:8" x14ac:dyDescent="0.25">
      <c r="A408" s="8">
        <v>2015</v>
      </c>
      <c r="B408" s="8" t="s">
        <v>22</v>
      </c>
      <c r="C408" s="8" t="s">
        <v>24</v>
      </c>
      <c r="D408" s="8" t="s">
        <v>34</v>
      </c>
      <c r="E408" s="8" t="s">
        <v>35</v>
      </c>
      <c r="F408" s="12">
        <f t="shared" si="15"/>
        <v>8853.5999999999985</v>
      </c>
      <c r="G408" s="8">
        <v>6324</v>
      </c>
      <c r="H408" s="14" t="s">
        <v>445</v>
      </c>
    </row>
    <row r="409" spans="1:8" x14ac:dyDescent="0.25">
      <c r="A409" s="8">
        <v>2015</v>
      </c>
      <c r="B409" s="8" t="s">
        <v>22</v>
      </c>
      <c r="C409" s="8" t="s">
        <v>33</v>
      </c>
      <c r="D409" s="8" t="s">
        <v>34</v>
      </c>
      <c r="E409" s="8" t="s">
        <v>35</v>
      </c>
      <c r="F409" s="12">
        <f t="shared" si="15"/>
        <v>6421.7999999999993</v>
      </c>
      <c r="G409" s="8">
        <v>4587</v>
      </c>
      <c r="H409" s="14" t="s">
        <v>446</v>
      </c>
    </row>
    <row r="410" spans="1:8" x14ac:dyDescent="0.25">
      <c r="A410" s="8">
        <v>2015</v>
      </c>
      <c r="B410" s="8" t="s">
        <v>22</v>
      </c>
      <c r="C410" s="8" t="s">
        <v>24</v>
      </c>
      <c r="D410" s="8" t="s">
        <v>34</v>
      </c>
      <c r="E410" s="8" t="s">
        <v>35</v>
      </c>
      <c r="F410" s="12">
        <f t="shared" si="15"/>
        <v>8853.5999999999985</v>
      </c>
      <c r="G410" s="8">
        <v>6324</v>
      </c>
      <c r="H410" s="14" t="s">
        <v>447</v>
      </c>
    </row>
    <row r="411" spans="1:8" x14ac:dyDescent="0.25">
      <c r="A411" s="8">
        <v>2015</v>
      </c>
      <c r="B411" s="8" t="s">
        <v>23</v>
      </c>
      <c r="C411" s="8" t="s">
        <v>24</v>
      </c>
      <c r="D411" s="8" t="s">
        <v>30</v>
      </c>
      <c r="E411" s="8" t="s">
        <v>27</v>
      </c>
      <c r="F411" s="12">
        <f t="shared" si="15"/>
        <v>7872.2</v>
      </c>
      <c r="G411" s="8">
        <v>5623</v>
      </c>
      <c r="H411" s="14" t="s">
        <v>448</v>
      </c>
    </row>
    <row r="412" spans="1:8" x14ac:dyDescent="0.25">
      <c r="A412" s="8">
        <v>2015</v>
      </c>
      <c r="B412" s="8" t="s">
        <v>23</v>
      </c>
      <c r="C412" s="8" t="s">
        <v>24</v>
      </c>
      <c r="D412" s="8" t="s">
        <v>30</v>
      </c>
      <c r="E412" s="8" t="s">
        <v>27</v>
      </c>
      <c r="F412" s="12">
        <f t="shared" si="15"/>
        <v>10259.199999999999</v>
      </c>
      <c r="G412" s="8">
        <v>7328</v>
      </c>
      <c r="H412" s="14" t="s">
        <v>449</v>
      </c>
    </row>
    <row r="413" spans="1:8" x14ac:dyDescent="0.25">
      <c r="A413" s="8">
        <v>2015</v>
      </c>
      <c r="B413" s="8" t="s">
        <v>23</v>
      </c>
      <c r="C413" s="8" t="s">
        <v>24</v>
      </c>
      <c r="D413" s="8" t="s">
        <v>30</v>
      </c>
      <c r="E413" s="8" t="s">
        <v>27</v>
      </c>
      <c r="F413" s="12">
        <f t="shared" si="15"/>
        <v>7872.2</v>
      </c>
      <c r="G413" s="8">
        <v>5623</v>
      </c>
      <c r="H413" s="14" t="s">
        <v>450</v>
      </c>
    </row>
    <row r="414" spans="1:8" x14ac:dyDescent="0.25">
      <c r="A414" s="8">
        <v>2015</v>
      </c>
      <c r="B414" s="8" t="s">
        <v>23</v>
      </c>
      <c r="C414" s="8" t="s">
        <v>24</v>
      </c>
      <c r="D414" s="8" t="s">
        <v>30</v>
      </c>
      <c r="E414" s="8" t="s">
        <v>27</v>
      </c>
      <c r="F414" s="12">
        <f t="shared" si="15"/>
        <v>10259.199999999999</v>
      </c>
      <c r="G414" s="8">
        <v>7328</v>
      </c>
      <c r="H414" s="14" t="s">
        <v>451</v>
      </c>
    </row>
    <row r="415" spans="1:8" x14ac:dyDescent="0.25">
      <c r="A415" s="8">
        <v>2015</v>
      </c>
      <c r="B415" s="8" t="s">
        <v>23</v>
      </c>
      <c r="C415" s="8" t="s">
        <v>24</v>
      </c>
      <c r="D415" s="13" t="s">
        <v>38</v>
      </c>
      <c r="E415" s="8" t="s">
        <v>35</v>
      </c>
      <c r="F415" s="12">
        <f t="shared" si="15"/>
        <v>7872.2</v>
      </c>
      <c r="G415" s="8">
        <v>5623</v>
      </c>
      <c r="H415" s="14" t="s">
        <v>452</v>
      </c>
    </row>
    <row r="416" spans="1:8" x14ac:dyDescent="0.25">
      <c r="A416" s="8">
        <v>2015</v>
      </c>
      <c r="B416" s="8" t="s">
        <v>23</v>
      </c>
      <c r="C416" s="8" t="s">
        <v>31</v>
      </c>
      <c r="D416" s="13" t="s">
        <v>38</v>
      </c>
      <c r="E416" s="8" t="s">
        <v>35</v>
      </c>
      <c r="F416" s="12">
        <f t="shared" ref="F416:F448" si="16">G416*1.4</f>
        <v>3637.2</v>
      </c>
      <c r="G416" s="8">
        <v>2598</v>
      </c>
      <c r="H416" s="14" t="s">
        <v>453</v>
      </c>
    </row>
    <row r="417" spans="1:8" x14ac:dyDescent="0.25">
      <c r="A417" s="8">
        <v>2015</v>
      </c>
      <c r="B417" s="8" t="s">
        <v>23</v>
      </c>
      <c r="C417" s="8" t="s">
        <v>24</v>
      </c>
      <c r="D417" s="13" t="s">
        <v>38</v>
      </c>
      <c r="E417" s="8" t="s">
        <v>35</v>
      </c>
      <c r="F417" s="12">
        <f t="shared" si="16"/>
        <v>7872.2</v>
      </c>
      <c r="G417" s="8">
        <v>5623</v>
      </c>
      <c r="H417" s="14" t="s">
        <v>454</v>
      </c>
    </row>
    <row r="418" spans="1:8" x14ac:dyDescent="0.25">
      <c r="A418" s="8">
        <v>2015</v>
      </c>
      <c r="B418" s="8" t="s">
        <v>23</v>
      </c>
      <c r="C418" s="8" t="s">
        <v>31</v>
      </c>
      <c r="D418" s="13" t="s">
        <v>38</v>
      </c>
      <c r="E418" s="8" t="s">
        <v>35</v>
      </c>
      <c r="F418" s="12">
        <f t="shared" si="16"/>
        <v>3637.2</v>
      </c>
      <c r="G418" s="8">
        <v>2598</v>
      </c>
      <c r="H418" s="14" t="s">
        <v>455</v>
      </c>
    </row>
    <row r="419" spans="1:8" x14ac:dyDescent="0.25">
      <c r="A419" s="8">
        <v>2015</v>
      </c>
      <c r="B419" s="8" t="s">
        <v>23</v>
      </c>
      <c r="C419" s="8" t="s">
        <v>31</v>
      </c>
      <c r="D419" s="13" t="s">
        <v>39</v>
      </c>
      <c r="E419" s="13" t="s">
        <v>26</v>
      </c>
      <c r="F419" s="12">
        <f t="shared" si="16"/>
        <v>697.19999999999993</v>
      </c>
      <c r="G419" s="8">
        <v>498</v>
      </c>
      <c r="H419" s="14" t="s">
        <v>456</v>
      </c>
    </row>
    <row r="420" spans="1:8" x14ac:dyDescent="0.25">
      <c r="A420" s="8">
        <v>2015</v>
      </c>
      <c r="B420" s="8" t="s">
        <v>23</v>
      </c>
      <c r="C420" s="8" t="s">
        <v>33</v>
      </c>
      <c r="D420" s="13" t="s">
        <v>39</v>
      </c>
      <c r="E420" s="13" t="s">
        <v>26</v>
      </c>
      <c r="F420" s="12">
        <f t="shared" si="16"/>
        <v>6421.7999999999993</v>
      </c>
      <c r="G420" s="8">
        <v>4587</v>
      </c>
      <c r="H420" s="14" t="s">
        <v>457</v>
      </c>
    </row>
    <row r="421" spans="1:8" x14ac:dyDescent="0.25">
      <c r="A421" s="8">
        <v>2015</v>
      </c>
      <c r="B421" s="8" t="s">
        <v>23</v>
      </c>
      <c r="C421" s="8" t="s">
        <v>31</v>
      </c>
      <c r="D421" s="13" t="s">
        <v>39</v>
      </c>
      <c r="E421" s="13" t="s">
        <v>26</v>
      </c>
      <c r="F421" s="12">
        <f t="shared" si="16"/>
        <v>697.19999999999993</v>
      </c>
      <c r="G421" s="8">
        <v>498</v>
      </c>
      <c r="H421" s="14" t="s">
        <v>458</v>
      </c>
    </row>
    <row r="422" spans="1:8" x14ac:dyDescent="0.25">
      <c r="A422" s="8">
        <v>2015</v>
      </c>
      <c r="B422" s="8" t="s">
        <v>23</v>
      </c>
      <c r="C422" s="8" t="s">
        <v>33</v>
      </c>
      <c r="D422" s="13" t="s">
        <v>39</v>
      </c>
      <c r="E422" s="13" t="s">
        <v>26</v>
      </c>
      <c r="F422" s="12">
        <f t="shared" si="16"/>
        <v>6421.7999999999993</v>
      </c>
      <c r="G422" s="8">
        <v>4587</v>
      </c>
      <c r="H422" s="14" t="s">
        <v>459</v>
      </c>
    </row>
    <row r="423" spans="1:8" x14ac:dyDescent="0.25">
      <c r="A423" s="8">
        <v>2015</v>
      </c>
      <c r="B423" s="8" t="s">
        <v>23</v>
      </c>
      <c r="C423" s="8" t="s">
        <v>31</v>
      </c>
      <c r="D423" s="8" t="s">
        <v>32</v>
      </c>
      <c r="E423" s="13" t="s">
        <v>28</v>
      </c>
      <c r="F423" s="12">
        <f t="shared" si="16"/>
        <v>3637.2</v>
      </c>
      <c r="G423" s="8">
        <v>2598</v>
      </c>
      <c r="H423" s="14" t="s">
        <v>460</v>
      </c>
    </row>
    <row r="424" spans="1:8" x14ac:dyDescent="0.25">
      <c r="A424" s="8">
        <v>2015</v>
      </c>
      <c r="B424" s="8" t="s">
        <v>23</v>
      </c>
      <c r="C424" s="8" t="s">
        <v>36</v>
      </c>
      <c r="D424" s="8" t="s">
        <v>32</v>
      </c>
      <c r="E424" s="13" t="s">
        <v>28</v>
      </c>
      <c r="F424" s="12">
        <f t="shared" si="16"/>
        <v>2878.3999999999996</v>
      </c>
      <c r="G424" s="8">
        <v>2056</v>
      </c>
      <c r="H424" s="14" t="s">
        <v>461</v>
      </c>
    </row>
    <row r="425" spans="1:8" x14ac:dyDescent="0.25">
      <c r="A425" s="8">
        <v>2015</v>
      </c>
      <c r="B425" s="8" t="s">
        <v>23</v>
      </c>
      <c r="C425" s="8" t="s">
        <v>31</v>
      </c>
      <c r="D425" s="8" t="s">
        <v>32</v>
      </c>
      <c r="E425" s="13" t="s">
        <v>28</v>
      </c>
      <c r="F425" s="12">
        <f t="shared" si="16"/>
        <v>3637.2</v>
      </c>
      <c r="G425" s="8">
        <v>2598</v>
      </c>
      <c r="H425" s="14" t="s">
        <v>462</v>
      </c>
    </row>
    <row r="426" spans="1:8" x14ac:dyDescent="0.25">
      <c r="A426" s="8">
        <v>2015</v>
      </c>
      <c r="B426" s="8" t="s">
        <v>23</v>
      </c>
      <c r="C426" s="8" t="s">
        <v>36</v>
      </c>
      <c r="D426" s="8" t="s">
        <v>32</v>
      </c>
      <c r="E426" s="13" t="s">
        <v>28</v>
      </c>
      <c r="F426" s="12">
        <f t="shared" si="16"/>
        <v>2878.3999999999996</v>
      </c>
      <c r="G426" s="8">
        <v>2056</v>
      </c>
      <c r="H426" s="14" t="s">
        <v>463</v>
      </c>
    </row>
    <row r="427" spans="1:8" x14ac:dyDescent="0.25">
      <c r="A427" s="8">
        <v>2015</v>
      </c>
      <c r="B427" s="8" t="s">
        <v>23</v>
      </c>
      <c r="C427" s="8" t="s">
        <v>33</v>
      </c>
      <c r="D427" s="8" t="s">
        <v>34</v>
      </c>
      <c r="E427" s="8" t="s">
        <v>35</v>
      </c>
      <c r="F427" s="12">
        <f t="shared" si="16"/>
        <v>11545.8</v>
      </c>
      <c r="G427" s="8">
        <v>8247</v>
      </c>
      <c r="H427" s="14" t="s">
        <v>464</v>
      </c>
    </row>
    <row r="428" spans="1:8" x14ac:dyDescent="0.25">
      <c r="A428" s="8">
        <v>2015</v>
      </c>
      <c r="B428" s="8" t="s">
        <v>23</v>
      </c>
      <c r="C428" s="8" t="s">
        <v>24</v>
      </c>
      <c r="D428" s="8" t="s">
        <v>34</v>
      </c>
      <c r="E428" s="8" t="s">
        <v>35</v>
      </c>
      <c r="F428" s="12">
        <f t="shared" si="16"/>
        <v>12349.4</v>
      </c>
      <c r="G428" s="8">
        <v>8821</v>
      </c>
      <c r="H428" s="14" t="s">
        <v>465</v>
      </c>
    </row>
    <row r="429" spans="1:8" x14ac:dyDescent="0.25">
      <c r="A429" s="8">
        <v>2015</v>
      </c>
      <c r="B429" s="8" t="s">
        <v>23</v>
      </c>
      <c r="C429" s="8" t="s">
        <v>33</v>
      </c>
      <c r="D429" s="8" t="s">
        <v>34</v>
      </c>
      <c r="E429" s="8" t="s">
        <v>35</v>
      </c>
      <c r="F429" s="12">
        <f t="shared" si="16"/>
        <v>11545.8</v>
      </c>
      <c r="G429" s="8">
        <v>8247</v>
      </c>
      <c r="H429" s="14" t="s">
        <v>466</v>
      </c>
    </row>
    <row r="430" spans="1:8" x14ac:dyDescent="0.25">
      <c r="A430" s="8">
        <v>2015</v>
      </c>
      <c r="B430" s="8" t="s">
        <v>23</v>
      </c>
      <c r="C430" s="8" t="s">
        <v>24</v>
      </c>
      <c r="D430" s="8" t="s">
        <v>34</v>
      </c>
      <c r="E430" s="8" t="s">
        <v>35</v>
      </c>
      <c r="F430" s="12">
        <f t="shared" si="16"/>
        <v>12349.4</v>
      </c>
      <c r="G430" s="8">
        <v>8821</v>
      </c>
      <c r="H430" s="14" t="s">
        <v>467</v>
      </c>
    </row>
    <row r="431" spans="1:8" x14ac:dyDescent="0.25">
      <c r="A431" s="8">
        <v>2015</v>
      </c>
      <c r="B431" s="8" t="s">
        <v>37</v>
      </c>
      <c r="C431" s="8" t="s">
        <v>31</v>
      </c>
      <c r="D431" s="8" t="s">
        <v>30</v>
      </c>
      <c r="E431" s="8" t="s">
        <v>27</v>
      </c>
      <c r="F431" s="12">
        <f t="shared" si="16"/>
        <v>8243.1999999999989</v>
      </c>
      <c r="G431" s="8">
        <v>5888</v>
      </c>
      <c r="H431" s="14" t="s">
        <v>468</v>
      </c>
    </row>
    <row r="432" spans="1:8" x14ac:dyDescent="0.25">
      <c r="A432" s="8">
        <v>2015</v>
      </c>
      <c r="B432" s="8" t="s">
        <v>37</v>
      </c>
      <c r="C432" s="8" t="s">
        <v>24</v>
      </c>
      <c r="D432" s="8" t="s">
        <v>30</v>
      </c>
      <c r="E432" s="8" t="s">
        <v>27</v>
      </c>
      <c r="F432" s="12">
        <f t="shared" si="16"/>
        <v>12518.8</v>
      </c>
      <c r="G432" s="8">
        <v>8942</v>
      </c>
      <c r="H432" s="14" t="s">
        <v>469</v>
      </c>
    </row>
    <row r="433" spans="1:8" x14ac:dyDescent="0.25">
      <c r="A433" s="8">
        <v>2015</v>
      </c>
      <c r="B433" s="8" t="s">
        <v>37</v>
      </c>
      <c r="C433" s="8" t="s">
        <v>36</v>
      </c>
      <c r="D433" s="8" t="s">
        <v>30</v>
      </c>
      <c r="E433" s="8" t="s">
        <v>27</v>
      </c>
      <c r="F433" s="12">
        <f t="shared" si="16"/>
        <v>3757.6</v>
      </c>
      <c r="G433" s="8">
        <v>2684</v>
      </c>
      <c r="H433" s="14" t="s">
        <v>470</v>
      </c>
    </row>
    <row r="434" spans="1:8" x14ac:dyDescent="0.25">
      <c r="A434" s="8">
        <v>2015</v>
      </c>
      <c r="B434" s="8" t="s">
        <v>37</v>
      </c>
      <c r="C434" s="8" t="s">
        <v>31</v>
      </c>
      <c r="D434" s="8" t="s">
        <v>30</v>
      </c>
      <c r="E434" s="8" t="s">
        <v>27</v>
      </c>
      <c r="F434" s="12">
        <f t="shared" si="16"/>
        <v>8243.1999999999989</v>
      </c>
      <c r="G434" s="8">
        <v>5888</v>
      </c>
      <c r="H434" s="14" t="s">
        <v>471</v>
      </c>
    </row>
    <row r="435" spans="1:8" x14ac:dyDescent="0.25">
      <c r="A435" s="8">
        <v>2015</v>
      </c>
      <c r="B435" s="8" t="s">
        <v>37</v>
      </c>
      <c r="C435" s="8" t="s">
        <v>24</v>
      </c>
      <c r="D435" s="8" t="s">
        <v>30</v>
      </c>
      <c r="E435" s="8" t="s">
        <v>27</v>
      </c>
      <c r="F435" s="12">
        <f t="shared" si="16"/>
        <v>12518.8</v>
      </c>
      <c r="G435" s="8">
        <v>8942</v>
      </c>
      <c r="H435" s="14" t="s">
        <v>472</v>
      </c>
    </row>
    <row r="436" spans="1:8" x14ac:dyDescent="0.25">
      <c r="A436" s="8">
        <v>2015</v>
      </c>
      <c r="B436" s="8" t="s">
        <v>37</v>
      </c>
      <c r="C436" s="8" t="s">
        <v>36</v>
      </c>
      <c r="D436" s="8" t="s">
        <v>30</v>
      </c>
      <c r="E436" s="8" t="s">
        <v>27</v>
      </c>
      <c r="F436" s="12">
        <f t="shared" si="16"/>
        <v>3757.6</v>
      </c>
      <c r="G436" s="8">
        <v>2684</v>
      </c>
      <c r="H436" s="14" t="s">
        <v>473</v>
      </c>
    </row>
    <row r="437" spans="1:8" x14ac:dyDescent="0.25">
      <c r="A437" s="8">
        <v>2015</v>
      </c>
      <c r="B437" s="8" t="s">
        <v>37</v>
      </c>
      <c r="C437" s="8" t="s">
        <v>31</v>
      </c>
      <c r="D437" s="13" t="s">
        <v>38</v>
      </c>
      <c r="E437" s="8" t="s">
        <v>35</v>
      </c>
      <c r="F437" s="12">
        <f t="shared" si="16"/>
        <v>8243.1999999999989</v>
      </c>
      <c r="G437" s="8">
        <v>5888</v>
      </c>
      <c r="H437" s="14" t="s">
        <v>474</v>
      </c>
    </row>
    <row r="438" spans="1:8" x14ac:dyDescent="0.25">
      <c r="A438" s="8">
        <v>2015</v>
      </c>
      <c r="B438" s="8" t="s">
        <v>37</v>
      </c>
      <c r="C438" s="8" t="s">
        <v>33</v>
      </c>
      <c r="D438" s="13" t="s">
        <v>38</v>
      </c>
      <c r="E438" s="8" t="s">
        <v>35</v>
      </c>
      <c r="F438" s="12">
        <f t="shared" si="16"/>
        <v>3311</v>
      </c>
      <c r="G438" s="8">
        <v>2365</v>
      </c>
      <c r="H438" s="14" t="s">
        <v>475</v>
      </c>
    </row>
    <row r="439" spans="1:8" x14ac:dyDescent="0.25">
      <c r="A439" s="8">
        <v>2015</v>
      </c>
      <c r="B439" s="8" t="s">
        <v>37</v>
      </c>
      <c r="C439" s="8" t="s">
        <v>31</v>
      </c>
      <c r="D439" s="13" t="s">
        <v>38</v>
      </c>
      <c r="E439" s="8" t="s">
        <v>35</v>
      </c>
      <c r="F439" s="12">
        <f t="shared" si="16"/>
        <v>8243.1999999999989</v>
      </c>
      <c r="G439" s="8">
        <v>5888</v>
      </c>
      <c r="H439" s="14" t="s">
        <v>476</v>
      </c>
    </row>
    <row r="440" spans="1:8" x14ac:dyDescent="0.25">
      <c r="A440" s="8">
        <v>2015</v>
      </c>
      <c r="B440" s="8" t="s">
        <v>37</v>
      </c>
      <c r="C440" s="8" t="s">
        <v>33</v>
      </c>
      <c r="D440" s="13" t="s">
        <v>38</v>
      </c>
      <c r="E440" s="8" t="s">
        <v>35</v>
      </c>
      <c r="F440" s="12">
        <f t="shared" si="16"/>
        <v>3311</v>
      </c>
      <c r="G440" s="8">
        <v>2365</v>
      </c>
      <c r="H440" s="14" t="s">
        <v>477</v>
      </c>
    </row>
    <row r="441" spans="1:8" x14ac:dyDescent="0.25">
      <c r="A441" s="8">
        <v>2015</v>
      </c>
      <c r="B441" s="8" t="s">
        <v>37</v>
      </c>
      <c r="C441" s="8" t="s">
        <v>24</v>
      </c>
      <c r="D441" s="13" t="s">
        <v>39</v>
      </c>
      <c r="E441" s="13" t="s">
        <v>26</v>
      </c>
      <c r="F441" s="12">
        <f t="shared" si="16"/>
        <v>8853.5999999999985</v>
      </c>
      <c r="G441" s="8">
        <v>6324</v>
      </c>
      <c r="H441" s="14" t="s">
        <v>478</v>
      </c>
    </row>
    <row r="442" spans="1:8" x14ac:dyDescent="0.25">
      <c r="A442" s="8">
        <v>2015</v>
      </c>
      <c r="B442" s="8" t="s">
        <v>37</v>
      </c>
      <c r="C442" s="8" t="s">
        <v>36</v>
      </c>
      <c r="D442" s="13" t="s">
        <v>39</v>
      </c>
      <c r="E442" s="13" t="s">
        <v>26</v>
      </c>
      <c r="F442" s="12">
        <f t="shared" si="16"/>
        <v>6853</v>
      </c>
      <c r="G442" s="8">
        <v>4895</v>
      </c>
      <c r="H442" s="14" t="s">
        <v>479</v>
      </c>
    </row>
    <row r="443" spans="1:8" x14ac:dyDescent="0.25">
      <c r="A443" s="8">
        <v>2015</v>
      </c>
      <c r="B443" s="8" t="s">
        <v>37</v>
      </c>
      <c r="C443" s="8" t="s">
        <v>24</v>
      </c>
      <c r="D443" s="13" t="s">
        <v>39</v>
      </c>
      <c r="E443" s="13" t="s">
        <v>26</v>
      </c>
      <c r="F443" s="12">
        <f t="shared" si="16"/>
        <v>8853.5999999999985</v>
      </c>
      <c r="G443" s="8">
        <v>6324</v>
      </c>
      <c r="H443" s="14" t="s">
        <v>480</v>
      </c>
    </row>
    <row r="444" spans="1:8" x14ac:dyDescent="0.25">
      <c r="A444" s="8">
        <v>2015</v>
      </c>
      <c r="B444" s="8" t="s">
        <v>37</v>
      </c>
      <c r="C444" s="8" t="s">
        <v>36</v>
      </c>
      <c r="D444" s="13" t="s">
        <v>39</v>
      </c>
      <c r="E444" s="13" t="s">
        <v>26</v>
      </c>
      <c r="F444" s="12">
        <f t="shared" si="16"/>
        <v>6853</v>
      </c>
      <c r="G444" s="8">
        <v>4895</v>
      </c>
      <c r="H444" s="14" t="s">
        <v>481</v>
      </c>
    </row>
    <row r="445" spans="1:8" x14ac:dyDescent="0.25">
      <c r="A445" s="8">
        <v>2015</v>
      </c>
      <c r="B445" s="8" t="s">
        <v>37</v>
      </c>
      <c r="C445" s="8" t="s">
        <v>33</v>
      </c>
      <c r="D445" s="8" t="s">
        <v>32</v>
      </c>
      <c r="E445" s="13" t="s">
        <v>28</v>
      </c>
      <c r="F445" s="12">
        <f t="shared" si="16"/>
        <v>3311</v>
      </c>
      <c r="G445" s="8">
        <v>2365</v>
      </c>
      <c r="H445" s="14" t="s">
        <v>482</v>
      </c>
    </row>
    <row r="446" spans="1:8" x14ac:dyDescent="0.25">
      <c r="A446" s="8">
        <v>2015</v>
      </c>
      <c r="B446" s="8" t="s">
        <v>37</v>
      </c>
      <c r="C446" s="8" t="s">
        <v>24</v>
      </c>
      <c r="D446" s="8" t="s">
        <v>32</v>
      </c>
      <c r="E446" s="13" t="s">
        <v>28</v>
      </c>
      <c r="F446" s="12">
        <f t="shared" si="16"/>
        <v>3022.6</v>
      </c>
      <c r="G446" s="8">
        <v>2159</v>
      </c>
      <c r="H446" s="14" t="s">
        <v>483</v>
      </c>
    </row>
    <row r="447" spans="1:8" x14ac:dyDescent="0.25">
      <c r="A447" s="8">
        <v>2015</v>
      </c>
      <c r="B447" s="8" t="s">
        <v>37</v>
      </c>
      <c r="C447" s="8" t="s">
        <v>33</v>
      </c>
      <c r="D447" s="8" t="s">
        <v>32</v>
      </c>
      <c r="E447" s="13" t="s">
        <v>28</v>
      </c>
      <c r="F447" s="12">
        <f t="shared" si="16"/>
        <v>3311</v>
      </c>
      <c r="G447" s="8">
        <v>2365</v>
      </c>
      <c r="H447" s="14" t="s">
        <v>484</v>
      </c>
    </row>
    <row r="448" spans="1:8" x14ac:dyDescent="0.25">
      <c r="A448" s="8">
        <v>2015</v>
      </c>
      <c r="B448" s="8" t="s">
        <v>37</v>
      </c>
      <c r="C448" s="8" t="s">
        <v>24</v>
      </c>
      <c r="D448" s="8" t="s">
        <v>32</v>
      </c>
      <c r="E448" s="13" t="s">
        <v>28</v>
      </c>
      <c r="F448" s="12">
        <f t="shared" si="16"/>
        <v>3022.6</v>
      </c>
      <c r="G448" s="8">
        <v>2159</v>
      </c>
      <c r="H448" s="14" t="s">
        <v>485</v>
      </c>
    </row>
  </sheetData>
  <mergeCells count="2">
    <mergeCell ref="A1:H1"/>
    <mergeCell ref="A2:H2"/>
  </mergeCells>
  <phoneticPr fontId="0" type="noConversion"/>
  <printOptions gridLines="1" gridLinesSet="0"/>
  <pageMargins left="0.75" right="0.75" top="1" bottom="1" header="0.5" footer="0.5"/>
  <pageSetup orientation="portrait" r:id="rId1"/>
  <headerFooter alignWithMargins="0">
    <oddHeader>&amp;A</oddHeader>
    <oddFooter>Page &amp;P</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CA960AA2-B930-472F-BC1A-C0B3735BA250}">
  <ds:schemaRefs/>
</ds:datastoreItem>
</file>

<file path=customXml/itemProps2.xml><?xml version="1.0" encoding="utf-8"?>
<ds:datastoreItem xmlns:ds="http://schemas.openxmlformats.org/officeDocument/2006/customXml" ds:itemID="{33E395BA-E618-4BCC-9961-CE1FD414BF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Subtotals</vt:lpstr>
      <vt:lpstr>April Sales Detail</vt:lpstr>
      <vt:lpstr>PivotTableSalesMonthly</vt:lpstr>
      <vt:lpstr>PivotTableSalesPerSalesperson</vt:lpstr>
      <vt:lpstr>PivotTableSalesPercentDiff</vt:lpstr>
      <vt:lpstr>Sales Data</vt:lpstr>
    </vt:vector>
  </TitlesOfParts>
  <Company>LearniT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katieg</dc:creator>
  <cp:lastModifiedBy>Damayanti Naik</cp:lastModifiedBy>
  <cp:lastPrinted>2025-11-20T13:59:52Z</cp:lastPrinted>
  <dcterms:created xsi:type="dcterms:W3CDTF">1998-08-21T01:22:16Z</dcterms:created>
  <dcterms:modified xsi:type="dcterms:W3CDTF">2025-12-19T20:03:54Z</dcterms:modified>
</cp:coreProperties>
</file>